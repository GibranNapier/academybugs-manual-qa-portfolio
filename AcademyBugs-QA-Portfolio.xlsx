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view" sheetId="1" r:id="rId5"/>
    <sheet state="visible" name="Test Cases" sheetId="2" r:id="rId6"/>
    <sheet state="visible" name="Defect Reports" sheetId="3" r:id="rId7"/>
    <sheet state="visible" name="Test Summary" sheetId="4" r:id="rId8"/>
  </sheets>
  <definedNames/>
  <calcPr/>
</workbook>
</file>

<file path=xl/sharedStrings.xml><?xml version="1.0" encoding="utf-8"?>
<sst xmlns="http://schemas.openxmlformats.org/spreadsheetml/2006/main" count="299" uniqueCount="225">
  <si>
    <t>Test Case ID</t>
  </si>
  <si>
    <t>Feature</t>
  </si>
  <si>
    <t>Test Case Title</t>
  </si>
  <si>
    <t>Test Type</t>
  </si>
  <si>
    <t>Priority</t>
  </si>
  <si>
    <t>Preconditions</t>
  </si>
  <si>
    <t>Test Data</t>
  </si>
  <si>
    <t>Test Steps</t>
  </si>
  <si>
    <t>Project Information</t>
  </si>
  <si>
    <t>Defect ID</t>
  </si>
  <si>
    <t>Details</t>
  </si>
  <si>
    <t>Expected Result</t>
  </si>
  <si>
    <t>Defect Title</t>
  </si>
  <si>
    <t>Actual Result</t>
  </si>
  <si>
    <t>Project Name</t>
  </si>
  <si>
    <t>Related Test Case</t>
  </si>
  <si>
    <t>Status</t>
  </si>
  <si>
    <t>Screenshot Evidence</t>
  </si>
  <si>
    <t>Issue Type</t>
  </si>
  <si>
    <t>Video Evidence</t>
  </si>
  <si>
    <t>Environment</t>
  </si>
  <si>
    <t>Execution Date</t>
  </si>
  <si>
    <t>Tester Notes</t>
  </si>
  <si>
    <t>Severity</t>
  </si>
  <si>
    <t>Manual Testing of AcademyBugs</t>
  </si>
  <si>
    <t>TC-001</t>
  </si>
  <si>
    <t>Steps to Reproduce</t>
  </si>
  <si>
    <t>Tester</t>
  </si>
  <si>
    <t>Gibran Napier</t>
  </si>
  <si>
    <t>Project Status</t>
  </si>
  <si>
    <t>Completed</t>
  </si>
  <si>
    <t>Reproducibility</t>
  </si>
  <si>
    <t>Product Details</t>
  </si>
  <si>
    <t>Application Under Test</t>
  </si>
  <si>
    <t>Verify a selected product’s details page displays correct product information</t>
  </si>
  <si>
    <t>AcademyBugs</t>
  </si>
  <si>
    <t>Testing Types</t>
  </si>
  <si>
    <t>Functional and exploratory testing using positive, negative, and boundary-value techniques</t>
  </si>
  <si>
    <t>Device</t>
  </si>
  <si>
    <t>Date Reported</t>
  </si>
  <si>
    <t>Chromebook</t>
  </si>
  <si>
    <t>Additional Notes</t>
  </si>
  <si>
    <t>Operating System</t>
  </si>
  <si>
    <t>ChromeOS</t>
  </si>
  <si>
    <t>Functional</t>
  </si>
  <si>
    <t>DEF-001</t>
  </si>
  <si>
    <t>High</t>
  </si>
  <si>
    <t>Browser</t>
  </si>
  <si>
    <t>DNK Yellow Shoes displays Lorem Ipsum placeholder text in product description</t>
  </si>
  <si>
    <t>The AcademyBugs website is accessible, cookie consent has been accepted, and the product catalog is open.</t>
  </si>
  <si>
    <t>Google Chrome</t>
  </si>
  <si>
    <t>Product: DNK Yellow Shoes</t>
  </si>
  <si>
    <t>Browser Version</t>
  </si>
  <si>
    <t>Version 151.0.7922.168 (Official Build) (64-bit)</t>
  </si>
  <si>
    <t>1. Open the AcademyBugs products page. 2. Select a product. 3. Observe the resulting product-details page.</t>
  </si>
  <si>
    <t>Start Date</t>
  </si>
  <si>
    <t>The correct product-details page opens and displays the selected product’s correct name, image, price, and a meaningful English description.</t>
  </si>
  <si>
    <t>The DNK Yellow Shoes product-details page opened with the correct product name, image, and price. However, the description displayed Lorem Ipsum placeholder text instead of a meaningful English product description.</t>
  </si>
  <si>
    <t>Fail</t>
  </si>
  <si>
    <t>Content</t>
  </si>
  <si>
    <t>Chromebook / ChromeOS / Chrome 151.0.7922.168</t>
  </si>
  <si>
    <t>View Description Defect</t>
  </si>
  <si>
    <t>Medium</t>
  </si>
  <si>
    <t>Objective</t>
  </si>
  <si>
    <t>AcademyBugs Find Bugs page is open and cookie consent has been accepted</t>
  </si>
  <si>
    <t>Evaluate the website’s core e-commerce functionality, identify defects, document reproducible evidence, and communicate testing results clearly.</t>
  </si>
  <si>
    <t>1. Open the Find Bugs page. 2. Select “DNK Yellow Shoes.” 3. Review the product description.</t>
  </si>
  <si>
    <t>Scope</t>
  </si>
  <si>
    <t>The product-details page should display a meaningful English description of DNK Yellow Shoes, consistent with the website’s English interface.</t>
  </si>
  <si>
    <t>Product browsing, product details, product search, product sorting, cart behavior, empty-cart navigation, checkout navigation, required-field validation, and interface observations.</t>
  </si>
  <si>
    <t>The product-details page consistently displays Lorem Ipsum placeholder text instead of a meaningful English product description. The issue remained after refreshing the page and repeating the test.</t>
  </si>
  <si>
    <t>Out of Scope</t>
  </si>
  <si>
    <t>Payment processing, security testing, performance testing, and administrative functionality.</t>
  </si>
  <si>
    <t>Always</t>
  </si>
  <si>
    <t>Placeholder content prevents users from receiving a meaningful product description.</t>
  </si>
  <si>
    <t>TC-002</t>
  </si>
  <si>
    <t>Shopping Cart</t>
  </si>
  <si>
    <t>New</t>
  </si>
  <si>
    <t>Verify adding one product to the cart displays the correct item and totals</t>
  </si>
  <si>
    <t>AcademyBugs Find Bugs page is accessible, cookie consent is accepted, and the cart is empty</t>
  </si>
  <si>
    <t>DEF-002</t>
  </si>
  <si>
    <t>DNK Yellow Shoes; Quantity: 1</t>
  </si>
  <si>
    <t>1. Open DNK Yellow Shoes. 2. Confirm the quantity is set to 1. 3. Click Add to Cart. 4. Observe the shopping-cart page and review the cart contents and totals.</t>
  </si>
  <si>
    <t>Shopping cart grand total is calculated $100 too high</t>
  </si>
  <si>
    <t>One DNK Yellow Shoes product is added to the cart with the correct name, image, price of $45.00, quantity of 1, and calculated total.</t>
  </si>
  <si>
    <t>Clicking Add to Cart opened the shopping-cart page and added one DNK Yellow Shoes item with the correct $45.00 price and quantity of 1. The $45.00 subtotal and $7.99 shipping charge displayed correctly, but the grand total displayed as $152.99 instead of the expected $52.99.</t>
  </si>
  <si>
    <t>View Incorrect Total- Qty 1</t>
  </si>
  <si>
    <t>Cart is empty and DNK Yellow Shoes is available for $45.00</t>
  </si>
  <si>
    <t>1. Open DNK Yellow Shoes. 2. Set quantity to 1. 3. Click Add to Cart. 4. Review the cart totals.</t>
  </si>
  <si>
    <t>The $45.00 subtotal plus $7.99 shipping should produce a grand total of $52.99.</t>
  </si>
  <si>
    <t>The subtotal and shipping display correctly, but the grand total displays as $152.99—$100 above the correct total.</t>
  </si>
  <si>
    <t>Product addition succeeded, but total validation failed. See DEF-002.</t>
  </si>
  <si>
    <t>TC-003</t>
  </si>
  <si>
    <t>View Grand-Total Recalculation (video)</t>
  </si>
  <si>
    <t>Verify changing product quantity recalculates cart totals</t>
  </si>
  <si>
    <t>One DNK Yellow Shoes item is displayed in the shopping cart with a quantity of 1.</t>
  </si>
  <si>
    <t>DNK Yellow Shoes; Quantity changed from 1 to 2</t>
  </si>
  <si>
    <t>1. Increase the quantity to 2. 2. Click Update. 3. Review the displayed quantity, item total, subtotal, shipping charge, and grand total.</t>
  </si>
  <si>
    <t>The quantity displays as 2. The item total and subtotal become $90.00. With a $7.99 shipping charge, the grand total becomes $97.99.</t>
  </si>
  <si>
    <t>After the quantity was increased from 1 to 2 and Update was selected, the item total and cart subtotal correctly changed to $90.00. Shipping remained $7.99, but the grand total displayed as $197.99 instead of the correct $97.99.</t>
  </si>
  <si>
    <t>View Incorrect Total - Qty 2</t>
  </si>
  <si>
    <t>View Incorrect Total - Qty 2 (video)</t>
  </si>
  <si>
    <t>The issue also reproduced after changing the quantity to 2. With a $90.00 subtotal and $7.99 shipping, the grand total displayed as $197.99 instead of $97.99. Both executions added an unexplained $100.00 to the correct total.</t>
  </si>
  <si>
    <t>DEF-003</t>
  </si>
  <si>
    <t>Return to Store button incorrect spacing before final letter</t>
  </si>
  <si>
    <t>TC-004</t>
  </si>
  <si>
    <t>Empty Cart</t>
  </si>
  <si>
    <t>The existing grand-total defect persists after changing the product quantity.</t>
  </si>
  <si>
    <t>Low</t>
  </si>
  <si>
    <t>Verify a product can be removed from the shopping cart</t>
  </si>
  <si>
    <t>Shopping cart contains at least one product</t>
  </si>
  <si>
    <t>1. Open the shopping cart. 2. Remove the remaining product. 3. Observe the Return to Store button on the empty-cart page.</t>
  </si>
  <si>
    <t>The button should display "Return to Store" with consistent spacing and alignment.</t>
  </si>
  <si>
    <t>An excessive space appears before the final “E” in “STORE,” causing the button caption to display as “RETURN TO STOR E.”</t>
  </si>
  <si>
    <t>DNK Yellow Shoes is present in the shopping cart</t>
  </si>
  <si>
    <t>DNK Yellow Shoes</t>
  </si>
  <si>
    <t>1. Open the shopping cart. 2. Click the gray remove control beside DNK Yellow Shoes. 3. Observe the cart contents, totals, and empty-cart state.</t>
  </si>
  <si>
    <t>View Button-Label Defect</t>
  </si>
  <si>
    <t>DNK Yellow Shoes is removed. The cart displays an empty-cart state, no product remains listed, and the previous subtotal and grand total are cleared.</t>
  </si>
  <si>
    <t>Clicking the remove control displayed a temporary loading indicator and successfully removed DNK Yellow Shoes. The cart then displayed an empty-cart message, and the previous item, totals, and checkout controls were cleared. A separate content defect was observed in the Return to Store button label.</t>
  </si>
  <si>
    <t>Pass</t>
  </si>
  <si>
    <t>View Empty-Cart Result</t>
  </si>
  <si>
    <t>View Cart Removal Process (video)</t>
  </si>
  <si>
    <t>View Button-Label Defect (video)</t>
  </si>
  <si>
    <t>Removal functionality passed; DEF-003 was observed in the resulting empty-cart state.</t>
  </si>
  <si>
    <t>TC-005</t>
  </si>
  <si>
    <t>Empty Cart Navigation</t>
  </si>
  <si>
    <t>Verify Return to Store button returns the user to the product catalog</t>
  </si>
  <si>
    <t>The shopping cart is empty and the empty-cart page is displayed</t>
  </si>
  <si>
    <t>Not applicable</t>
  </si>
  <si>
    <t xml:space="preserve">1. Confirm the empty-cart page is displayed. 2. Click Return to Store. 3. Observe the destination page. </t>
  </si>
  <si>
    <t xml:space="preserve">The button opens the product catalog, and available products display successfully without an error. </t>
  </si>
  <si>
    <t>Clicking Return to Store opened the product catalog successfully. The URL changed appropriately, available products displayed, and no application error appeared. The AcademyBugs training prompt appeared as part of the testing environment.</t>
  </si>
  <si>
    <t>View Product-Catalog Result</t>
  </si>
  <si>
    <t>AcademyBugs’ built-in review identified the issue type as Content.</t>
  </si>
  <si>
    <t>Navigation function passed. The separate button-label content defect is documented as DEF-003.</t>
  </si>
  <si>
    <t>TC-006</t>
  </si>
  <si>
    <t>Product Search</t>
  </si>
  <si>
    <t>Verify searching for an existing product returns a relevant result</t>
  </si>
  <si>
    <t>A product-details page is loaded, and the Product Search field and Search button are visible and enabled.</t>
  </si>
  <si>
    <t>1. Locate the Product Search field. 2. Enter “DNK Yellow Shoes”. 3. Click Search. 4. Review the displayed results.</t>
  </si>
  <si>
    <t>The search completes without an error and displays DNK Yellow Shoes as a relevant result. Unrelated products should not appear.</t>
  </si>
  <si>
    <t>Searching for “DNK Yellow Shoes” by pressing Enter and by clicking Search returned two products: DNK Yellow Shoes and Blue Hoodie. DNK Yellow Shoes appeared as expected. Blue Hoodie also displayed DNK branding on the product image, indicating relevance to the “DNK” search term. No error occurred.</t>
  </si>
  <si>
    <t>View Product Search Result</t>
  </si>
  <si>
    <t>View Product Search Result (video)</t>
  </si>
  <si>
    <t>Blue Hoodie displayed DNK branding and was treated as potentially relevant to the query. The exact product attributes indexed by search are not documented. The search field’s placement is retained as a usability observation, not a confirmed defect.</t>
  </si>
  <si>
    <t>TC-007</t>
  </si>
  <si>
    <t>Verify no products are returned for a nonexistent product search</t>
  </si>
  <si>
    <t>Search term: NoSuchProduct98765</t>
  </si>
  <si>
    <t>1. Click the Product Search field. 2. Enter “NoSuchProduct98765”. 3. Click the Search button. 4. Observe the displayed search results and any accompanying message.</t>
  </si>
  <si>
    <t>The search should complete successfully without displaying any products. A clear message should inform the user that no matching products were found, and no application error should occur.</t>
  </si>
  <si>
    <t>The search completed successfully and displayed no products. The page showed the message “No results found,” and no application error occurred.</t>
  </si>
  <si>
    <t>View Nonexistent Product Search Result</t>
  </si>
  <si>
    <t>Negative search input was handled successfully with a clear zero-results state.</t>
  </si>
  <si>
    <t>TC-008</t>
  </si>
  <si>
    <t>Verify the cart accepts the maximum purchase quantity of 10</t>
  </si>
  <si>
    <t>The DNK Yellow Shoes product-details page is loaded. The product is in stock with at least 11 units available, the cart is empty, and the quantity controls are visible and enabled. The page displays a maximum purchase quantity of 10.</t>
  </si>
  <si>
    <t>Product: DNK Yellow Shoes; Starting quantity: 1; Stated maximum quantity: 10; Test quantity: 10</t>
  </si>
  <si>
    <t>1. Confirm that the DNK Yellow Shoes product-details page displays a maximum purchase quantity of 10. 2. Use the quantity-increase control to change the quantity from 1 to 10. 3. Click Add to Cart. 4. Observe the shopping-cart page. 5. Review the displayed product name and quantity.</t>
  </si>
  <si>
    <t>DNK Yellow Shoes should be added to the shopping cart with a displayed quantity of 10. The application should not reject, reduce, or modify the quantity, and no maximum-limit error should appear.</t>
  </si>
  <si>
    <t>After Add to Cart was selected, the shopping-cart page displayed DNK Yellow Shoes with a quantity of 10. The quantity was not rejected, reduced, or modified, and no maximum-limit error appeared.</t>
  </si>
  <si>
    <t>View Cart Quantity Limit</t>
  </si>
  <si>
    <t>View Cart Quantity Limit (video)</t>
  </si>
  <si>
    <t>The valid upper-boundary quantity of 10 was accepted successfully.</t>
  </si>
  <si>
    <t>TC-009</t>
  </si>
  <si>
    <t>Verify the quantity cannot exceed the maximum purchase limit of 10</t>
  </si>
  <si>
    <t>The DNK Yellow Shoes product-details page is loaded. The cart is empty, the quantity controls are visible and enabled, and the page displays a maximum purchase quantity of 10.</t>
  </si>
  <si>
    <t>Product: DNK Yellow Shoes; Starting quantity: 1; Maximum quantity: 10; Invalid test quantity: 11</t>
  </si>
  <si>
    <t>1. Confirm that the product page states a maximum purchase quantity of 10. 2. Use the quantity-increase control to change the quantity from 1 to 10. 3. Attempt to increase the quantity from 10 to 11. 4. Observe the displayed quantity and any validation message. 5. If the page permits a displayed quantity of 11, click Add to Cart and inspect the quantity added to the cart.</t>
  </si>
  <si>
    <t>The application should prevent a quantity of 11 from being selected or added to the cart. The quantity should remain at the maximum of 10, or the application should reject the invalid quantity with a clear validation message.</t>
  </si>
  <si>
    <t>The quantity was increased to 11, and the application displayed the validation message “Maximum purchase amount of 10 is allowed.” The application prevented 11 units from being added to the shopping cart.</t>
  </si>
  <si>
    <t>View Maximum-Quantity Validation</t>
  </si>
  <si>
    <t>The invalid boundary value of 11 triggered the expected validation message, and the maximum purchase limit was successfully enforced.</t>
  </si>
  <si>
    <t>TC-010</t>
  </si>
  <si>
    <t>Product Sorting</t>
  </si>
  <si>
    <t>Verify Price Low-High arranges products in ascending order</t>
  </si>
  <si>
    <t>The product catalog is loaded, multiple products and their prices are displayed, and the sorting dropdown is visible and enabled with Price Low-High available.</t>
  </si>
  <si>
    <t>Sorting option: Price Low-High; Products displayed before sorting: 18</t>
  </si>
  <si>
    <t>1. Open the product catalog. 2. Confirm that all 18 products are displayed. 3. Open the Default Sorting dropdown. 4. Select Price Low-High. 5. Confirm that all 18 products remain displayed. 6. Review the products from left to right and then from top to bottom. 7. Compare each publicly displayed numerical price with the preceding price. 8. Observe whether an application error or other unexpected behavior occurs.</t>
  </si>
  <si>
    <t>All 18 products should remain displayed. Products with publicly displayed numerical prices should be arranged from the lowest price to the highest price when read from left to right and then from top to bottom. Each numerical price should be equal to or greater than the preceding numerical price. Products without publicly displayed prices should remain in the catalog without causing an application error.</t>
  </si>
  <si>
    <t>After Price Low-High was selected, all 18 products remained in the catalog. Products with publicly displayed numerical prices were arranged in ascending order when read from left to right and top to bottom. Current sale prices were used for discounted products, and no application error occurred.</t>
  </si>
  <si>
    <t>View Price-Sorting Validation</t>
  </si>
  <si>
    <t>Dark Blue Denim Jeans displayed “Login for Pricing,” so its position could not be independently verified against a publicly displayed numerical price. All other visible numerical prices followed ascending order.</t>
  </si>
  <si>
    <t>TC-011</t>
  </si>
  <si>
    <t>Checkout</t>
  </si>
  <si>
    <t>Verify selecting Checkout from a populated cart opens the checkout-details page and preserves visible order information</t>
  </si>
  <si>
    <t>The shopping-cart page is loaded with DNK Yellow Shoes at a quantity of 1. The Checkout button is visible and enabled.</t>
  </si>
  <si>
    <t>Product: DNK Yellow Shoes; Quantity: 1; Unit price: $45.00</t>
  </si>
  <si>
    <t>1. Confirm that the shopping cart displays DNK Yellow Shoes with a quantity of 1 and a unit price of $45.00. 2. Click Checkout. 3. Confirm that the Checkout Details page opens. 4. Review the available customer and billing-information fields. 5. Review the Your Cart section. 6. Compare the displayed product name and price with the values previously displayed in the shopping cart. 7. Observe whether an application error occurs.</t>
  </si>
  <si>
    <t>The Checkout Details page should open successfully and display returning-customer and billing-information options. The Your Cart section should preserve DNK Yellow Shoes and its $45.00 price. No product information should be unexpectedly changed or lost, and no application error should occur.</t>
  </si>
  <si>
    <t>Clicking Checkout opened the Checkout Details page successfully. The page displayed returning-customer and billing-information options. The Your Cart section retained DNK Yellow Shoes at $45.00, matching the product and price displayed in the shopping cart. No application error occurred.</t>
  </si>
  <si>
    <t>View Checkout Navigation Results</t>
  </si>
  <si>
    <t>Summary Metric</t>
  </si>
  <si>
    <t>The checkout page retained the product name and $45.00 price. Quantity was not displayed separately, so it could not be independently verified from the checkout page. No new defect was identified.</t>
  </si>
  <si>
    <t>TC-012</t>
  </si>
  <si>
    <t>Verify checkout prevents continuation when required billing fields are blank</t>
  </si>
  <si>
    <t>The Checkout Details page is loaded with DNK Yellow Shoes displayed in the cart at $45.00. The billing-information form and Continue to Shipping button are visible and enabled.</t>
  </si>
  <si>
    <t>Country: unselected; Required billing text fields: blank; Product: DNK Yellow Shoes; Displayed price: $45.00</t>
  </si>
  <si>
    <t>1. Confirm that Country has not been selected and all required billing text fields are blank. 2. Click Continue to Shipping. 3. Observe the validation feedback associated with the missing required information. 4. Confirm whether the user remains on the Checkout Details page or proceeds to shipping. 5. Confirm that DNK Yellow Shoes and its $45.00 price remain displayed. 6. Observe whether an application error or other unexpected behavior occurs. 7. As a focused retest, populate the required fields with valid-looking test data while leaving Retype Email blank. 8. Click Continue to Shipping and observe the Retype Email validation response.</t>
  </si>
  <si>
    <t>The application should prevent progression to shipping and keep the user on the Checkout Details page when required information is missing. Clear validation feedback should identify the missing or invalid information necessary to continue. DNK Yellow Shoes and its $45.00 price should remain displayed, and no application error should occur.</t>
  </si>
  <si>
    <t>Clicking Continue to Shipping with required checkout information missing prevented progression and kept the user on the Checkout Details page. The application displayed field-specific validation feedback for the missing required information and the general message “Please correct the errors in your checkout details.” A focused retest with Email populated and Retype Email blank displayed “Your email addresses do not match” and again prevented progression. DNK Yellow Shoes remained in the checkout flow, and no application error occurred.</t>
  </si>
  <si>
    <t>View Required-Field Validation Evidence</t>
  </si>
  <si>
    <t>Test Cycle</t>
  </si>
  <si>
    <t>Cycle 1 – Initial Functional Testing</t>
  </si>
  <si>
    <t>Testing Period</t>
  </si>
  <si>
    <t>Retype Email validation is conditional on the primary Email field containing a value. The focused retest confirmed that Retype Email is validated and that incomplete checkout information cannot proceed to shipping. No defect was confirmed.</t>
  </si>
  <si>
    <t>September 4–6, 2026</t>
  </si>
  <si>
    <t>Chromebook / ChromeOS / Google Chrome 151.0.7922.168 (64-bit)</t>
  </si>
  <si>
    <t>Total Test Cases</t>
  </si>
  <si>
    <t>Passed</t>
  </si>
  <si>
    <t>Failed</t>
  </si>
  <si>
    <t>Blocked</t>
  </si>
  <si>
    <t>Not Run</t>
  </si>
  <si>
    <t>Pass Rate</t>
  </si>
  <si>
    <t>Total Defects</t>
  </si>
  <si>
    <t>Critical Defects</t>
  </si>
  <si>
    <t>High-Severity Defects</t>
  </si>
  <si>
    <t>Medium-Severity Defects</t>
  </si>
  <si>
    <t>Low-Severity Defects</t>
  </si>
  <si>
    <t>Overall Assessment</t>
  </si>
  <si>
    <t>Twelve test cases were executed against AcademyBugs, resulting in nine passes, three failures, and a 75% pass rate. Within the tested scope, the core product-browsing, search, cart, sorting, and checkout workflows generally functioned; however, DEF-002 presents a significant financial risk because the shopping-cart grand total could overcharge customers. In a production e-commerce environment, the tested build would require correction and verification of the grand-total calculation before release.</t>
  </si>
  <si>
    <t>Known Risks</t>
  </si>
  <si>
    <t>The unresolved grand-total calculation defect creates a financial risk because customers could be charged an incorrect amount. Placeholder product content may reduce purchasing confidence, while the Return to Store spacing defect lowers interface quality. Compatibility outside Chrome on ChromeOS remains unverified, and payment processing, security, performance, and administrative functionality were excluded from this test cycle.</t>
  </si>
  <si>
    <t>Recommended Next Steps</t>
  </si>
  <si>
    <t>The highest-priority action is to investigate and correct the grand-total calculation defect across multiple products, quantities, and cart combinations. After correction, DEF-002 should be retested using its original reproduction steps, followed by regression testing of cart updates, shipping charges, and checkout totals. The lower-severity content defects should also be corrected and verified. Future test cycles should cover returning-customer login, completion of valid checkout details, shipping progression, additional browsers and devices, and the areas excluded from this test cycle.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</si>
</sst>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mmmm d,yyyy"/>
  </numFmts>
  <fonts count="9">
    <font>
      <sz val="10.0"/>
      <color rgb="FF000000"/>
      <name val="Arial"/>
      <scheme val="minor"/>
    </font>
    <font>
      <b/>
      <color rgb="FFFFFFFF"/>
      <name val="Arial"/>
    </font>
    <font>
      <b/>
      <color theme="1"/>
      <name val="Arial"/>
    </font>
    <font>
      <color theme="1"/>
      <name val="Arial"/>
    </font>
    <font>
      <u/>
      <color rgb="FF0000FF"/>
    </font>
    <font>
      <u/>
      <color rgb="FF0000FF"/>
    </font>
    <font>
      <u/>
      <color rgb="FF0000FF"/>
      <name val="Arial"/>
    </font>
    <font>
      <u/>
      <color rgb="FF0000FF"/>
      <name val="Arial"/>
    </font>
    <font>
      <color theme="1"/>
      <name val="Arial"/>
      <scheme val="minor"/>
    </font>
  </fonts>
  <fills count="5">
    <fill>
      <patternFill patternType="none"/>
    </fill>
    <fill>
      <patternFill patternType="lightGray"/>
    </fill>
    <fill>
      <patternFill patternType="solid">
        <fgColor rgb="FF113363"/>
        <bgColor rgb="FF113363"/>
      </patternFill>
    </fill>
    <fill>
      <patternFill patternType="solid">
        <fgColor rgb="FFF2F2F2"/>
        <bgColor rgb="FFF2F2F2"/>
      </patternFill>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3" fontId="3" numFmtId="0" xfId="0" applyAlignment="1" applyFill="1" applyFont="1">
      <alignment shrinkToFit="0" vertical="top" wrapText="1"/>
    </xf>
    <xf borderId="0" fillId="0" fontId="3" numFmtId="164" xfId="0" applyAlignment="1" applyFont="1" applyNumberFormat="1">
      <alignment shrinkToFit="0" vertical="top" wrapText="1"/>
    </xf>
    <xf borderId="0" fillId="3" fontId="4" numFmtId="0" xfId="0" applyAlignment="1" applyFill="1" applyFont="1">
      <alignment shrinkToFit="0" vertical="top" wrapText="1"/>
    </xf>
    <xf borderId="0" fillId="3" fontId="3" numFmtId="164" xfId="0" applyAlignment="1" applyFill="1" applyFont="1" applyNumberFormat="1">
      <alignment shrinkToFit="0" vertical="top" wrapText="1"/>
    </xf>
    <xf borderId="0" fillId="4" fontId="3" numFmtId="0" xfId="0" applyAlignment="1" applyFill="1" applyFont="1">
      <alignment shrinkToFit="0" vertical="top" wrapText="1"/>
    </xf>
    <xf borderId="0" fillId="4" fontId="5" numFmtId="0" xfId="0" applyAlignment="1" applyFill="1" applyFont="1">
      <alignment shrinkToFit="0" vertical="top" wrapText="1"/>
    </xf>
    <xf borderId="0" fillId="4" fontId="3" numFmtId="164" xfId="0" applyAlignment="1" applyFill="1" applyFont="1" applyNumberFormat="1">
      <alignment shrinkToFit="0" vertical="top" wrapText="1"/>
    </xf>
    <xf borderId="0" fillId="4" fontId="6" numFmtId="0" xfId="0" applyAlignment="1" applyFill="1" applyFont="1">
      <alignment shrinkToFit="0" vertical="top" wrapText="1"/>
    </xf>
    <xf borderId="0" fillId="3" fontId="7" numFmtId="0" xfId="0" applyAlignment="1" applyFill="1" applyFont="1">
      <alignment shrinkToFit="0" vertical="top" wrapText="1"/>
    </xf>
    <xf borderId="0" fillId="2" fontId="1" numFmtId="0" xfId="0" applyAlignment="1" applyFill="1" applyFont="1">
      <alignment horizontal="center" shrinkToFit="0" wrapText="1"/>
    </xf>
    <xf borderId="0" fillId="0" fontId="2" numFmtId="0" xfId="0" applyAlignment="1" applyFont="1">
      <alignment shrinkToFit="0" wrapText="1"/>
    </xf>
    <xf borderId="0" fillId="0" fontId="3" numFmtId="0" xfId="0" applyAlignment="1" applyFont="1">
      <alignment shrinkToFit="0" wrapText="1"/>
    </xf>
    <xf borderId="0" fillId="4" fontId="3" numFmtId="165" xfId="0" applyAlignment="1" applyFill="1" applyFont="1" applyNumberFormat="1">
      <alignment shrinkToFit="0" vertical="top" wrapText="1"/>
    </xf>
    <xf borderId="0" fillId="0" fontId="3" numFmtId="10" xfId="0" applyAlignment="1" applyFont="1" applyNumberFormat="1">
      <alignment shrinkToFit="0" wrapText="1"/>
    </xf>
    <xf borderId="0" fillId="0" fontId="3"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Test Execution Status</a:t>
            </a:r>
          </a:p>
        </c:rich>
      </c:tx>
      <c:overlay val="0"/>
    </c:title>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'Test Summary'!$A$7:$A$8</c:f>
            </c:strRef>
          </c:cat>
          <c:val>
            <c:numRef>
              <c:f>'Test Summary'!$B$7:$B$8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Calibri"/>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0</xdr:rowOff>
    </xdr:from>
    <xdr:ext cx="6734175" cy="2800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open?id=1d1pBOL3j2Joa5Mufx3SrTVtnQXUwQkYV" TargetMode="External"/><Relationship Id="rId10" Type="http://schemas.openxmlformats.org/officeDocument/2006/relationships/hyperlink" Target="https://drive.google.com/open?id=1MeKexJiOQUASiCGk9ruhu6JjYEf5NaHv" TargetMode="External"/><Relationship Id="rId13" Type="http://schemas.openxmlformats.org/officeDocument/2006/relationships/hyperlink" Target="https://drive.google.com/open?id=10Nsx9t6kA6kshM7T8be2GC_bRXuvB6eA" TargetMode="External"/><Relationship Id="rId12" Type="http://schemas.openxmlformats.org/officeDocument/2006/relationships/hyperlink" Target="https://drive.google.com/open?id=1KOQT5OfknL42kyulajIJ2EyAlRJ8Ferj" TargetMode="External"/><Relationship Id="rId1" Type="http://schemas.openxmlformats.org/officeDocument/2006/relationships/hyperlink" Target="https://drive.google.com/open?id=1BQUVVzvnEiytyWu6tOPKFmj1mKgrga9T" TargetMode="External"/><Relationship Id="rId2" Type="http://schemas.openxmlformats.org/officeDocument/2006/relationships/hyperlink" Target="https://drive.google.com/open?id=1KuuarrHPAXDPrvr6zTZLw-XpLVkxB9CH" TargetMode="External"/><Relationship Id="rId3" Type="http://schemas.openxmlformats.org/officeDocument/2006/relationships/hyperlink" Target="https://drive.google.com/open?id=1KuuarrHPAXDPrvr6zTZLw-XpLVkxB9CH" TargetMode="External"/><Relationship Id="rId4" Type="http://schemas.openxmlformats.org/officeDocument/2006/relationships/hyperlink" Target="https://drive.google.com/open?id=12ufru7Ysst_1BemQCGbPI9E-lyKFFl6m" TargetMode="External"/><Relationship Id="rId9" Type="http://schemas.openxmlformats.org/officeDocument/2006/relationships/hyperlink" Target="https://drive.google.com/open?id=1mmThHn7Lzl7pKIlgKjzQ4rCZ3e-C3fO_" TargetMode="External"/><Relationship Id="rId15" Type="http://schemas.openxmlformats.org/officeDocument/2006/relationships/hyperlink" Target="https://drive.google.com/open?id=1-CTqMBYiSCioIEGJO0TV87yNbIGUeLCF" TargetMode="External"/><Relationship Id="rId14" Type="http://schemas.openxmlformats.org/officeDocument/2006/relationships/hyperlink" Target="https://drive.google.com/open?id=1SMlH8_kDSPPEsqlSdrvvsrxJdbC2VpZu" TargetMode="External"/><Relationship Id="rId17" Type="http://schemas.openxmlformats.org/officeDocument/2006/relationships/drawing" Target="../drawings/drawing2.xml"/><Relationship Id="rId16" Type="http://schemas.openxmlformats.org/officeDocument/2006/relationships/hyperlink" Target="https://drive.google.com/open?id=1XZgAw7Z8lCJfxDS8b9_ES0wtcDei0phf" TargetMode="External"/><Relationship Id="rId5" Type="http://schemas.openxmlformats.org/officeDocument/2006/relationships/hyperlink" Target="https://drive.google.com/open?id=1IO6DmxsA5-YdZFiDXEfrdPjUK3fRx8mB" TargetMode="External"/><Relationship Id="rId6" Type="http://schemas.openxmlformats.org/officeDocument/2006/relationships/hyperlink" Target="https://drive.google.com/open?id=1LLdsR1GOGfnBTDBeSL3LiwamtLQ19RcS" TargetMode="External"/><Relationship Id="rId7" Type="http://schemas.openxmlformats.org/officeDocument/2006/relationships/hyperlink" Target="https://drive.google.com/open?id=1O_1ToeofThiKEColtjJd8x1BnnXY7hhf" TargetMode="External"/><Relationship Id="rId8" Type="http://schemas.openxmlformats.org/officeDocument/2006/relationships/hyperlink" Target="https://drive.google.com/open?id=1gYzZcpGB7_FXqRlR0-AJiZr8sxKwhh6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BQUVVzvnEiytyWu6tOPKFmj1mKgrga9T" TargetMode="External"/><Relationship Id="rId2" Type="http://schemas.openxmlformats.org/officeDocument/2006/relationships/hyperlink" Target="https://drive.google.com/open?id=1KuuarrHPAXDPrvr6zTZLw-XpLVkxB9CH" TargetMode="External"/><Relationship Id="rId3" Type="http://schemas.openxmlformats.org/officeDocument/2006/relationships/hyperlink" Target="https://drive.google.com/open?id=12ufru7Ysst_1BemQCGbPI9E-lyKFFl6m" TargetMode="External"/><Relationship Id="rId4" Type="http://schemas.openxmlformats.org/officeDocument/2006/relationships/hyperlink" Target="https://drive.google.com/open?id=1IO6DmxsA5-YdZFiDXEfrdPjUK3fRx8mB" TargetMode="External"/><Relationship Id="rId5" Type="http://schemas.openxmlformats.org/officeDocument/2006/relationships/hyperlink" Target="https://drive.google.com/open?id=1LLdsR1GOGfnBTDBeSL3LiwamtLQ19RcS"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62.63"/>
    <col customWidth="1" min="3" max="6" width="12.63"/>
  </cols>
  <sheetData>
    <row r="1" ht="24.0" customHeight="1">
      <c r="A1" s="1" t="s">
        <v>8</v>
      </c>
      <c r="B1" s="1" t="s">
        <v>10</v>
      </c>
    </row>
    <row r="2" ht="15.0" customHeight="1">
      <c r="A2" s="2" t="s">
        <v>14</v>
      </c>
      <c r="B2" s="3" t="s">
        <v>24</v>
      </c>
    </row>
    <row r="3" ht="15.0" customHeight="1">
      <c r="A3" s="2" t="s">
        <v>27</v>
      </c>
      <c r="B3" s="3" t="s">
        <v>28</v>
      </c>
    </row>
    <row r="4" ht="24.0" customHeight="1">
      <c r="A4" s="2" t="s">
        <v>29</v>
      </c>
      <c r="B4" s="3" t="s">
        <v>30</v>
      </c>
    </row>
    <row r="5" ht="24.0" customHeight="1">
      <c r="A5" s="2" t="s">
        <v>33</v>
      </c>
      <c r="B5" s="3" t="s">
        <v>35</v>
      </c>
    </row>
    <row r="6" ht="24.0" customHeight="1">
      <c r="A6" s="2" t="s">
        <v>36</v>
      </c>
      <c r="B6" s="3" t="s">
        <v>37</v>
      </c>
    </row>
    <row r="7" ht="15.0" customHeight="1">
      <c r="A7" s="2" t="s">
        <v>38</v>
      </c>
      <c r="B7" s="3" t="s">
        <v>40</v>
      </c>
    </row>
    <row r="8" ht="24.0" customHeight="1">
      <c r="A8" s="2" t="s">
        <v>42</v>
      </c>
      <c r="B8" s="3" t="s">
        <v>43</v>
      </c>
    </row>
    <row r="9" ht="15.0" customHeight="1">
      <c r="A9" s="2" t="s">
        <v>47</v>
      </c>
      <c r="B9" s="3" t="s">
        <v>50</v>
      </c>
    </row>
    <row r="10" ht="24.0" customHeight="1">
      <c r="A10" s="2" t="s">
        <v>52</v>
      </c>
      <c r="B10" s="3" t="s">
        <v>53</v>
      </c>
    </row>
    <row r="11" ht="15.0" customHeight="1">
      <c r="A11" s="2" t="s">
        <v>55</v>
      </c>
      <c r="B11" s="5">
        <v>46269.0</v>
      </c>
    </row>
    <row r="12" ht="24.0" customHeight="1">
      <c r="A12" s="2" t="s">
        <v>63</v>
      </c>
      <c r="B12" s="3" t="s">
        <v>65</v>
      </c>
    </row>
    <row r="13" ht="36.0" customHeight="1">
      <c r="A13" s="2" t="s">
        <v>67</v>
      </c>
      <c r="B13" s="3" t="s">
        <v>69</v>
      </c>
    </row>
    <row r="14" ht="24.0" customHeight="1">
      <c r="A14" s="2" t="s">
        <v>71</v>
      </c>
      <c r="B14" s="3" t="s">
        <v>72</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12.0"/>
    <col customWidth="1" min="3" max="3" width="11.13"/>
    <col customWidth="1" min="4" max="4" width="14.38"/>
    <col customWidth="1" min="5" max="5" width="12.38"/>
    <col customWidth="1" min="6" max="6" width="34.0"/>
    <col customWidth="1" min="7" max="7" width="31.38"/>
    <col customWidth="1" min="8" max="8" width="35.63"/>
    <col customWidth="1" min="9" max="9" width="31.38"/>
    <col customWidth="1" min="10" max="10" width="36.25"/>
    <col customWidth="1" min="11" max="11" width="11.0"/>
    <col customWidth="1" min="12" max="12" width="8.63"/>
    <col customWidth="1" min="13" max="13" width="13.38"/>
    <col customWidth="1" min="14" max="14" width="12.75"/>
    <col customWidth="1" min="15" max="15" width="16.5"/>
    <col customWidth="1" min="16" max="16" width="31.38"/>
  </cols>
  <sheetData>
    <row r="1" ht="24.0" customHeight="1">
      <c r="A1" s="1" t="s">
        <v>0</v>
      </c>
      <c r="B1" s="1" t="s">
        <v>1</v>
      </c>
      <c r="C1" s="1" t="s">
        <v>2</v>
      </c>
      <c r="D1" s="1" t="s">
        <v>3</v>
      </c>
      <c r="E1" s="1" t="s">
        <v>4</v>
      </c>
      <c r="F1" s="1" t="s">
        <v>5</v>
      </c>
      <c r="G1" s="1" t="s">
        <v>6</v>
      </c>
      <c r="H1" s="1" t="s">
        <v>7</v>
      </c>
      <c r="I1" s="1" t="s">
        <v>11</v>
      </c>
      <c r="J1" s="1" t="s">
        <v>13</v>
      </c>
      <c r="K1" s="1" t="s">
        <v>16</v>
      </c>
      <c r="L1" s="1" t="s">
        <v>9</v>
      </c>
      <c r="M1" s="1" t="s">
        <v>17</v>
      </c>
      <c r="N1" s="1" t="s">
        <v>19</v>
      </c>
      <c r="O1" s="1" t="s">
        <v>21</v>
      </c>
      <c r="P1" s="1" t="s">
        <v>22</v>
      </c>
    </row>
    <row r="2" ht="96.0" customHeight="1">
      <c r="A2" s="4" t="s">
        <v>25</v>
      </c>
      <c r="B2" s="4" t="s">
        <v>32</v>
      </c>
      <c r="C2" s="4" t="s">
        <v>34</v>
      </c>
      <c r="D2" s="4" t="s">
        <v>44</v>
      </c>
      <c r="E2" s="4" t="s">
        <v>46</v>
      </c>
      <c r="F2" s="4" t="s">
        <v>49</v>
      </c>
      <c r="G2" s="4" t="s">
        <v>51</v>
      </c>
      <c r="H2" s="4" t="s">
        <v>54</v>
      </c>
      <c r="I2" s="4" t="s">
        <v>56</v>
      </c>
      <c r="J2" s="4" t="s">
        <v>57</v>
      </c>
      <c r="K2" s="4" t="s">
        <v>58</v>
      </c>
      <c r="L2" s="4" t="s">
        <v>45</v>
      </c>
      <c r="M2" s="6" t="s">
        <v>61</v>
      </c>
      <c r="N2" s="7"/>
      <c r="O2" s="7">
        <v>46269.0</v>
      </c>
      <c r="P2" s="4" t="s">
        <v>74</v>
      </c>
    </row>
    <row r="3" ht="72.0" customHeight="1">
      <c r="A3" s="8" t="s">
        <v>75</v>
      </c>
      <c r="B3" s="8" t="s">
        <v>76</v>
      </c>
      <c r="C3" s="8" t="s">
        <v>78</v>
      </c>
      <c r="D3" s="8" t="s">
        <v>44</v>
      </c>
      <c r="E3" s="8" t="s">
        <v>46</v>
      </c>
      <c r="F3" s="8" t="s">
        <v>79</v>
      </c>
      <c r="G3" s="8" t="s">
        <v>81</v>
      </c>
      <c r="H3" s="8" t="s">
        <v>82</v>
      </c>
      <c r="I3" s="8" t="s">
        <v>84</v>
      </c>
      <c r="J3" s="8" t="s">
        <v>85</v>
      </c>
      <c r="K3" s="8" t="s">
        <v>58</v>
      </c>
      <c r="L3" s="8" t="s">
        <v>80</v>
      </c>
      <c r="M3" s="9" t="s">
        <v>86</v>
      </c>
      <c r="N3" s="10"/>
      <c r="O3" s="10">
        <v>46269.0</v>
      </c>
      <c r="P3" s="8" t="s">
        <v>91</v>
      </c>
    </row>
    <row r="4" ht="72.0" customHeight="1">
      <c r="A4" s="4" t="s">
        <v>92</v>
      </c>
      <c r="B4" s="4" t="s">
        <v>76</v>
      </c>
      <c r="C4" s="4" t="s">
        <v>94</v>
      </c>
      <c r="D4" s="4" t="s">
        <v>44</v>
      </c>
      <c r="E4" s="4" t="s">
        <v>46</v>
      </c>
      <c r="F4" s="4" t="s">
        <v>95</v>
      </c>
      <c r="G4" s="4" t="s">
        <v>96</v>
      </c>
      <c r="H4" s="4" t="s">
        <v>97</v>
      </c>
      <c r="I4" s="4" t="s">
        <v>98</v>
      </c>
      <c r="J4" s="4" t="s">
        <v>99</v>
      </c>
      <c r="K4" s="4" t="s">
        <v>58</v>
      </c>
      <c r="L4" s="4" t="s">
        <v>80</v>
      </c>
      <c r="M4" s="6" t="s">
        <v>100</v>
      </c>
      <c r="N4" s="6" t="s">
        <v>101</v>
      </c>
      <c r="O4" s="7">
        <v>46269.0</v>
      </c>
      <c r="P4" s="4" t="s">
        <v>107</v>
      </c>
    </row>
    <row r="5" ht="84.0" customHeight="1">
      <c r="A5" s="8" t="s">
        <v>105</v>
      </c>
      <c r="B5" s="8" t="s">
        <v>76</v>
      </c>
      <c r="C5" s="8" t="s">
        <v>109</v>
      </c>
      <c r="D5" s="8" t="s">
        <v>44</v>
      </c>
      <c r="E5" s="8" t="s">
        <v>46</v>
      </c>
      <c r="F5" s="8" t="s">
        <v>114</v>
      </c>
      <c r="G5" s="8" t="s">
        <v>115</v>
      </c>
      <c r="H5" s="8" t="s">
        <v>116</v>
      </c>
      <c r="I5" s="8" t="s">
        <v>118</v>
      </c>
      <c r="J5" s="8" t="s">
        <v>119</v>
      </c>
      <c r="K5" s="8" t="s">
        <v>120</v>
      </c>
      <c r="L5" s="8"/>
      <c r="M5" s="9" t="s">
        <v>121</v>
      </c>
      <c r="N5" s="9" t="s">
        <v>122</v>
      </c>
      <c r="O5" s="10">
        <v>46269.0</v>
      </c>
      <c r="P5" s="8" t="s">
        <v>124</v>
      </c>
    </row>
    <row r="6" ht="72.0" customHeight="1">
      <c r="A6" s="4" t="s">
        <v>125</v>
      </c>
      <c r="B6" s="4" t="s">
        <v>126</v>
      </c>
      <c r="C6" s="4" t="s">
        <v>127</v>
      </c>
      <c r="D6" s="4" t="s">
        <v>44</v>
      </c>
      <c r="E6" s="4" t="s">
        <v>62</v>
      </c>
      <c r="F6" s="4" t="s">
        <v>128</v>
      </c>
      <c r="G6" s="4" t="s">
        <v>129</v>
      </c>
      <c r="H6" s="4" t="s">
        <v>130</v>
      </c>
      <c r="I6" s="4" t="s">
        <v>131</v>
      </c>
      <c r="J6" s="4" t="s">
        <v>132</v>
      </c>
      <c r="K6" s="4" t="s">
        <v>120</v>
      </c>
      <c r="L6" s="4"/>
      <c r="M6" s="6" t="s">
        <v>133</v>
      </c>
      <c r="N6" s="7"/>
      <c r="O6" s="7">
        <v>46269.0</v>
      </c>
      <c r="P6" s="4" t="s">
        <v>135</v>
      </c>
    </row>
    <row r="7" ht="84.0" customHeight="1">
      <c r="A7" s="8" t="s">
        <v>136</v>
      </c>
      <c r="B7" s="8" t="s">
        <v>137</v>
      </c>
      <c r="C7" s="8" t="s">
        <v>138</v>
      </c>
      <c r="D7" s="8" t="s">
        <v>44</v>
      </c>
      <c r="E7" s="8" t="s">
        <v>46</v>
      </c>
      <c r="F7" s="8" t="s">
        <v>139</v>
      </c>
      <c r="G7" s="8" t="s">
        <v>115</v>
      </c>
      <c r="H7" s="8" t="s">
        <v>140</v>
      </c>
      <c r="I7" s="8" t="s">
        <v>141</v>
      </c>
      <c r="J7" s="8" t="s">
        <v>142</v>
      </c>
      <c r="K7" s="8" t="s">
        <v>120</v>
      </c>
      <c r="L7" s="8"/>
      <c r="M7" s="9" t="s">
        <v>143</v>
      </c>
      <c r="N7" s="9" t="s">
        <v>144</v>
      </c>
      <c r="O7" s="10">
        <v>46270.0</v>
      </c>
      <c r="P7" s="8" t="s">
        <v>145</v>
      </c>
    </row>
    <row r="8" ht="72.0" customHeight="1">
      <c r="A8" s="4" t="s">
        <v>146</v>
      </c>
      <c r="B8" s="4" t="s">
        <v>137</v>
      </c>
      <c r="C8" s="4" t="s">
        <v>147</v>
      </c>
      <c r="D8" s="4" t="s">
        <v>44</v>
      </c>
      <c r="E8" s="4" t="s">
        <v>62</v>
      </c>
      <c r="F8" s="4" t="s">
        <v>139</v>
      </c>
      <c r="G8" s="4" t="s">
        <v>148</v>
      </c>
      <c r="H8" s="4" t="s">
        <v>149</v>
      </c>
      <c r="I8" s="4" t="s">
        <v>150</v>
      </c>
      <c r="J8" s="4" t="s">
        <v>151</v>
      </c>
      <c r="K8" s="4" t="s">
        <v>120</v>
      </c>
      <c r="L8" s="4"/>
      <c r="M8" s="6" t="s">
        <v>152</v>
      </c>
      <c r="N8" s="4"/>
      <c r="O8" s="7">
        <v>46270.0</v>
      </c>
      <c r="P8" s="4" t="s">
        <v>153</v>
      </c>
    </row>
    <row r="9" ht="84.0" customHeight="1">
      <c r="A9" s="8" t="s">
        <v>154</v>
      </c>
      <c r="B9" s="8" t="s">
        <v>76</v>
      </c>
      <c r="C9" s="8" t="s">
        <v>155</v>
      </c>
      <c r="D9" s="8" t="s">
        <v>44</v>
      </c>
      <c r="E9" s="8" t="s">
        <v>62</v>
      </c>
      <c r="F9" s="8" t="s">
        <v>156</v>
      </c>
      <c r="G9" s="8" t="s">
        <v>157</v>
      </c>
      <c r="H9" s="8" t="s">
        <v>158</v>
      </c>
      <c r="I9" s="8" t="s">
        <v>159</v>
      </c>
      <c r="J9" s="8" t="s">
        <v>160</v>
      </c>
      <c r="K9" s="8" t="s">
        <v>120</v>
      </c>
      <c r="L9" s="8"/>
      <c r="M9" s="9" t="s">
        <v>161</v>
      </c>
      <c r="N9" s="9" t="s">
        <v>162</v>
      </c>
      <c r="O9" s="7">
        <v>46270.0</v>
      </c>
      <c r="P9" s="8" t="s">
        <v>163</v>
      </c>
    </row>
    <row r="10" ht="108.0" customHeight="1">
      <c r="A10" s="4" t="s">
        <v>164</v>
      </c>
      <c r="B10" s="4" t="s">
        <v>76</v>
      </c>
      <c r="C10" s="4" t="s">
        <v>165</v>
      </c>
      <c r="D10" s="4" t="s">
        <v>44</v>
      </c>
      <c r="E10" s="4" t="s">
        <v>62</v>
      </c>
      <c r="F10" s="4" t="s">
        <v>166</v>
      </c>
      <c r="G10" s="4" t="s">
        <v>167</v>
      </c>
      <c r="H10" s="4" t="s">
        <v>168</v>
      </c>
      <c r="I10" s="4" t="s">
        <v>169</v>
      </c>
      <c r="J10" s="4" t="s">
        <v>170</v>
      </c>
      <c r="K10" s="4" t="s">
        <v>120</v>
      </c>
      <c r="L10" s="4"/>
      <c r="M10" s="12" t="s">
        <v>171</v>
      </c>
      <c r="N10" s="4"/>
      <c r="O10" s="7">
        <v>46270.0</v>
      </c>
      <c r="P10" s="4" t="s">
        <v>172</v>
      </c>
    </row>
    <row r="11" ht="132.0" customHeight="1">
      <c r="A11" s="8" t="s">
        <v>173</v>
      </c>
      <c r="B11" s="8" t="s">
        <v>174</v>
      </c>
      <c r="C11" s="8" t="s">
        <v>175</v>
      </c>
      <c r="D11" s="8" t="s">
        <v>44</v>
      </c>
      <c r="E11" s="8" t="s">
        <v>62</v>
      </c>
      <c r="F11" s="8" t="s">
        <v>176</v>
      </c>
      <c r="G11" s="8" t="s">
        <v>177</v>
      </c>
      <c r="H11" s="8" t="s">
        <v>178</v>
      </c>
      <c r="I11" s="8" t="s">
        <v>179</v>
      </c>
      <c r="J11" s="8" t="s">
        <v>180</v>
      </c>
      <c r="K11" s="8" t="s">
        <v>120</v>
      </c>
      <c r="L11" s="8"/>
      <c r="M11" s="8"/>
      <c r="N11" s="11" t="s">
        <v>181</v>
      </c>
      <c r="O11" s="10">
        <v>46270.0</v>
      </c>
      <c r="P11" s="8" t="s">
        <v>182</v>
      </c>
    </row>
    <row r="12" ht="132.0" customHeight="1">
      <c r="A12" s="4" t="s">
        <v>183</v>
      </c>
      <c r="B12" s="4" t="s">
        <v>184</v>
      </c>
      <c r="C12" s="4" t="s">
        <v>185</v>
      </c>
      <c r="D12" s="4" t="s">
        <v>44</v>
      </c>
      <c r="E12" s="4" t="s">
        <v>46</v>
      </c>
      <c r="F12" s="4" t="s">
        <v>186</v>
      </c>
      <c r="G12" s="4" t="s">
        <v>187</v>
      </c>
      <c r="H12" s="4" t="s">
        <v>188</v>
      </c>
      <c r="I12" s="4" t="s">
        <v>189</v>
      </c>
      <c r="J12" s="4" t="s">
        <v>190</v>
      </c>
      <c r="K12" s="4" t="s">
        <v>120</v>
      </c>
      <c r="L12" s="4"/>
      <c r="M12" s="4"/>
      <c r="N12" s="12" t="s">
        <v>191</v>
      </c>
      <c r="O12" s="7">
        <v>46271.0</v>
      </c>
      <c r="P12" s="4" t="s">
        <v>193</v>
      </c>
    </row>
    <row r="13" ht="180.0" customHeight="1">
      <c r="A13" s="8" t="s">
        <v>194</v>
      </c>
      <c r="B13" s="8" t="s">
        <v>184</v>
      </c>
      <c r="C13" s="8" t="s">
        <v>195</v>
      </c>
      <c r="D13" s="8" t="s">
        <v>44</v>
      </c>
      <c r="E13" s="8" t="s">
        <v>46</v>
      </c>
      <c r="F13" s="8" t="s">
        <v>196</v>
      </c>
      <c r="G13" s="8" t="s">
        <v>197</v>
      </c>
      <c r="H13" s="8" t="s">
        <v>198</v>
      </c>
      <c r="I13" s="8" t="s">
        <v>199</v>
      </c>
      <c r="J13" s="8" t="s">
        <v>200</v>
      </c>
      <c r="K13" s="8" t="s">
        <v>120</v>
      </c>
      <c r="L13" s="8"/>
      <c r="M13" s="8"/>
      <c r="N13" s="11" t="s">
        <v>201</v>
      </c>
      <c r="O13" s="16"/>
      <c r="P13" s="8" t="s">
        <v>205</v>
      </c>
    </row>
    <row r="14" ht="15.75" customHeight="1">
      <c r="A14" s="4"/>
      <c r="B14" s="4"/>
      <c r="C14" s="4"/>
      <c r="D14" s="4"/>
      <c r="E14" s="4"/>
      <c r="F14" s="4"/>
      <c r="G14" s="4"/>
      <c r="H14" s="4"/>
      <c r="I14" s="4"/>
      <c r="J14" s="4"/>
      <c r="K14" s="4"/>
      <c r="L14" s="4"/>
      <c r="M14" s="4"/>
      <c r="N14" s="4"/>
      <c r="O14" s="4"/>
      <c r="P14" s="4"/>
    </row>
    <row r="15" ht="15.75" customHeight="1">
      <c r="A15" s="8"/>
      <c r="B15" s="8"/>
      <c r="C15" s="8"/>
      <c r="D15" s="8"/>
      <c r="E15" s="8"/>
      <c r="F15" s="8"/>
      <c r="G15" s="8"/>
      <c r="H15" s="8"/>
      <c r="I15" s="8"/>
      <c r="J15" s="8"/>
      <c r="K15" s="8"/>
      <c r="L15" s="8"/>
      <c r="M15" s="8"/>
      <c r="N15" s="8"/>
      <c r="O15" s="8"/>
      <c r="P15" s="8"/>
    </row>
    <row r="16" ht="15.75" customHeight="1">
      <c r="A16" s="4"/>
      <c r="B16" s="4"/>
      <c r="C16" s="4"/>
      <c r="D16" s="4"/>
      <c r="E16" s="4"/>
      <c r="F16" s="4"/>
      <c r="G16" s="4"/>
      <c r="H16" s="4"/>
      <c r="I16" s="4"/>
      <c r="J16" s="4"/>
      <c r="K16" s="4"/>
      <c r="L16" s="4"/>
      <c r="M16" s="4"/>
      <c r="N16" s="4"/>
      <c r="O16" s="4"/>
      <c r="P16" s="4"/>
    </row>
    <row r="17" ht="15.75" customHeight="1">
      <c r="A17" s="8"/>
      <c r="B17" s="8"/>
      <c r="C17" s="8"/>
      <c r="D17" s="8"/>
      <c r="E17" s="8"/>
      <c r="F17" s="8"/>
      <c r="G17" s="8"/>
      <c r="H17" s="8"/>
      <c r="I17" s="8"/>
      <c r="J17" s="8"/>
      <c r="K17" s="8"/>
      <c r="L17" s="8"/>
      <c r="M17" s="8"/>
      <c r="N17" s="8"/>
      <c r="O17" s="8"/>
      <c r="P17" s="8"/>
    </row>
    <row r="18" ht="15.75" customHeight="1">
      <c r="A18" s="4"/>
      <c r="B18" s="4"/>
      <c r="C18" s="4"/>
      <c r="D18" s="4"/>
      <c r="E18" s="4"/>
      <c r="F18" s="4"/>
      <c r="G18" s="4"/>
      <c r="H18" s="4"/>
      <c r="I18" s="4"/>
      <c r="J18" s="4"/>
      <c r="K18" s="4"/>
      <c r="L18" s="4"/>
      <c r="M18" s="4"/>
      <c r="N18" s="4"/>
      <c r="O18" s="4"/>
      <c r="P18" s="4"/>
    </row>
    <row r="19" ht="15.75" customHeight="1">
      <c r="A19" s="8"/>
      <c r="B19" s="8"/>
      <c r="C19" s="8"/>
      <c r="D19" s="8"/>
      <c r="E19" s="8"/>
      <c r="F19" s="8"/>
      <c r="G19" s="8"/>
      <c r="H19" s="8"/>
      <c r="I19" s="8"/>
      <c r="J19" s="8"/>
      <c r="K19" s="8"/>
      <c r="L19" s="8"/>
      <c r="M19" s="8"/>
      <c r="N19" s="8"/>
      <c r="O19" s="8"/>
      <c r="P19" s="8"/>
    </row>
    <row r="20" ht="15.75" customHeight="1">
      <c r="A20" s="4"/>
      <c r="B20" s="4"/>
      <c r="C20" s="4"/>
      <c r="D20" s="4"/>
      <c r="E20" s="4"/>
      <c r="F20" s="4"/>
      <c r="G20" s="4"/>
      <c r="H20" s="4"/>
      <c r="I20" s="4"/>
      <c r="J20" s="4"/>
      <c r="K20" s="4"/>
      <c r="L20" s="4"/>
      <c r="M20" s="4"/>
      <c r="N20" s="4"/>
      <c r="O20" s="4"/>
      <c r="P20" s="4"/>
    </row>
    <row r="21" ht="15.75" customHeight="1">
      <c r="A21" s="8"/>
      <c r="B21" s="8"/>
      <c r="C21" s="8"/>
      <c r="D21" s="8"/>
      <c r="E21" s="8"/>
      <c r="F21" s="8"/>
      <c r="G21" s="8"/>
      <c r="H21" s="8"/>
      <c r="I21" s="8"/>
      <c r="J21" s="8"/>
      <c r="K21" s="8"/>
      <c r="L21" s="8"/>
      <c r="M21" s="8"/>
      <c r="N21" s="8"/>
      <c r="O21" s="8"/>
      <c r="P21" s="8"/>
    </row>
    <row r="22" ht="15.75" customHeight="1">
      <c r="A22" s="4"/>
      <c r="B22" s="4"/>
      <c r="C22" s="4"/>
      <c r="D22" s="4"/>
      <c r="E22" s="4"/>
      <c r="F22" s="4"/>
      <c r="G22" s="4"/>
      <c r="H22" s="4"/>
      <c r="I22" s="4"/>
      <c r="J22" s="4"/>
      <c r="K22" s="4"/>
      <c r="L22" s="4"/>
      <c r="M22" s="4"/>
      <c r="N22" s="4"/>
      <c r="O22" s="4"/>
      <c r="P22" s="4"/>
    </row>
    <row r="23" ht="15.75" customHeight="1">
      <c r="A23" s="8"/>
      <c r="B23" s="8"/>
      <c r="C23" s="8"/>
      <c r="D23" s="8"/>
      <c r="E23" s="8"/>
      <c r="F23" s="8"/>
      <c r="G23" s="8"/>
      <c r="H23" s="8"/>
      <c r="I23" s="8"/>
      <c r="J23" s="8"/>
      <c r="K23" s="8"/>
      <c r="L23" s="8"/>
      <c r="M23" s="8"/>
      <c r="N23" s="8"/>
      <c r="O23" s="8"/>
      <c r="P23" s="8"/>
    </row>
    <row r="24" ht="15.75" customHeight="1">
      <c r="A24" s="4"/>
      <c r="B24" s="4"/>
      <c r="C24" s="4"/>
      <c r="D24" s="4"/>
      <c r="E24" s="4"/>
      <c r="F24" s="4"/>
      <c r="G24" s="4"/>
      <c r="H24" s="4"/>
      <c r="I24" s="4"/>
      <c r="J24" s="4"/>
      <c r="K24" s="4"/>
      <c r="L24" s="4"/>
      <c r="M24" s="4"/>
      <c r="N24" s="4"/>
      <c r="O24" s="4"/>
      <c r="P24" s="4"/>
    </row>
    <row r="25" ht="15.75" customHeight="1">
      <c r="A25" s="8"/>
      <c r="B25" s="8"/>
      <c r="C25" s="8"/>
      <c r="D25" s="8"/>
      <c r="E25" s="8"/>
      <c r="F25" s="8"/>
      <c r="G25" s="8"/>
      <c r="H25" s="8"/>
      <c r="I25" s="8"/>
      <c r="J25" s="8"/>
      <c r="K25" s="8"/>
      <c r="L25" s="8"/>
      <c r="M25" s="8"/>
      <c r="N25" s="8"/>
      <c r="O25" s="8"/>
      <c r="P25" s="8"/>
    </row>
    <row r="26" ht="15.75" customHeight="1">
      <c r="A26" s="4"/>
      <c r="B26" s="4"/>
      <c r="C26" s="4"/>
      <c r="D26" s="4"/>
      <c r="E26" s="4"/>
      <c r="F26" s="4"/>
      <c r="G26" s="4"/>
      <c r="H26" s="4"/>
      <c r="I26" s="4"/>
      <c r="J26" s="4"/>
      <c r="K26" s="4"/>
      <c r="L26" s="4"/>
      <c r="M26" s="4"/>
      <c r="N26" s="4"/>
      <c r="O26" s="4"/>
      <c r="P26" s="4"/>
    </row>
    <row r="27" ht="15.75" customHeight="1">
      <c r="A27" s="8"/>
      <c r="B27" s="8"/>
      <c r="C27" s="8"/>
      <c r="D27" s="8"/>
      <c r="E27" s="8"/>
      <c r="F27" s="8"/>
      <c r="G27" s="8"/>
      <c r="H27" s="8"/>
      <c r="I27" s="8"/>
      <c r="J27" s="8"/>
      <c r="K27" s="8"/>
      <c r="L27" s="8"/>
      <c r="M27" s="8"/>
      <c r="N27" s="8"/>
      <c r="O27" s="8"/>
      <c r="P27" s="8"/>
    </row>
    <row r="28" ht="15.75" customHeight="1">
      <c r="A28" s="4"/>
      <c r="B28" s="4"/>
      <c r="C28" s="4"/>
      <c r="D28" s="4"/>
      <c r="E28" s="4"/>
      <c r="F28" s="4"/>
      <c r="G28" s="4"/>
      <c r="H28" s="4"/>
      <c r="I28" s="4"/>
      <c r="J28" s="4"/>
      <c r="K28" s="4"/>
      <c r="L28" s="4"/>
      <c r="M28" s="4"/>
      <c r="N28" s="4"/>
      <c r="O28" s="4"/>
      <c r="P28" s="4"/>
    </row>
    <row r="29" ht="15.75" customHeight="1">
      <c r="A29" s="8"/>
      <c r="B29" s="8"/>
      <c r="C29" s="8"/>
      <c r="D29" s="8"/>
      <c r="E29" s="8"/>
      <c r="F29" s="8"/>
      <c r="G29" s="8"/>
      <c r="H29" s="8"/>
      <c r="I29" s="8"/>
      <c r="J29" s="8"/>
      <c r="K29" s="8"/>
      <c r="L29" s="8"/>
      <c r="M29" s="8"/>
      <c r="N29" s="8"/>
      <c r="O29" s="8"/>
      <c r="P29" s="8"/>
    </row>
    <row r="30" ht="15.75" customHeight="1">
      <c r="A30" s="4"/>
      <c r="B30" s="4"/>
      <c r="C30" s="4"/>
      <c r="D30" s="4"/>
      <c r="E30" s="4"/>
      <c r="F30" s="4"/>
      <c r="G30" s="4"/>
      <c r="H30" s="4"/>
      <c r="I30" s="4"/>
      <c r="J30" s="4"/>
      <c r="K30" s="4"/>
      <c r="L30" s="4"/>
      <c r="M30" s="4"/>
      <c r="N30" s="4"/>
      <c r="O30" s="4"/>
      <c r="P30" s="4"/>
    </row>
    <row r="31" ht="15.75" customHeight="1">
      <c r="A31" s="8"/>
      <c r="B31" s="8"/>
      <c r="C31" s="8"/>
      <c r="D31" s="8"/>
      <c r="E31" s="8"/>
      <c r="F31" s="8"/>
      <c r="G31" s="8"/>
      <c r="H31" s="8"/>
      <c r="I31" s="8"/>
      <c r="J31" s="8"/>
      <c r="K31" s="8"/>
      <c r="L31" s="8"/>
      <c r="M31" s="8"/>
      <c r="N31" s="8"/>
      <c r="O31" s="8"/>
      <c r="P31" s="8"/>
    </row>
    <row r="32" ht="15.75" customHeight="1">
      <c r="A32" s="4"/>
      <c r="B32" s="4"/>
      <c r="C32" s="4"/>
      <c r="D32" s="4"/>
      <c r="E32" s="4"/>
      <c r="F32" s="4"/>
      <c r="G32" s="4"/>
      <c r="H32" s="4"/>
      <c r="I32" s="4"/>
      <c r="J32" s="4"/>
      <c r="K32" s="4"/>
      <c r="L32" s="4"/>
      <c r="M32" s="4"/>
      <c r="N32" s="4"/>
      <c r="O32" s="4"/>
      <c r="P32" s="4"/>
    </row>
    <row r="33" ht="15.75" customHeight="1">
      <c r="A33" s="8"/>
      <c r="B33" s="8"/>
      <c r="C33" s="8"/>
      <c r="D33" s="8"/>
      <c r="E33" s="8"/>
      <c r="F33" s="8"/>
      <c r="G33" s="8"/>
      <c r="H33" s="8"/>
      <c r="I33" s="8"/>
      <c r="J33" s="8"/>
      <c r="K33" s="8"/>
      <c r="L33" s="8"/>
      <c r="M33" s="8"/>
      <c r="N33" s="8"/>
      <c r="O33" s="8"/>
      <c r="P33" s="8"/>
    </row>
    <row r="34" ht="15.75" customHeight="1">
      <c r="A34" s="4"/>
      <c r="B34" s="4"/>
      <c r="C34" s="4"/>
      <c r="D34" s="4"/>
      <c r="E34" s="4"/>
      <c r="F34" s="4"/>
      <c r="G34" s="4"/>
      <c r="H34" s="4"/>
      <c r="I34" s="4"/>
      <c r="J34" s="4"/>
      <c r="K34" s="4"/>
      <c r="L34" s="4"/>
      <c r="M34" s="4"/>
      <c r="N34" s="4"/>
      <c r="O34" s="4"/>
      <c r="P34" s="4"/>
    </row>
    <row r="35" ht="15.75" customHeight="1">
      <c r="A35" s="8"/>
      <c r="B35" s="8"/>
      <c r="C35" s="8"/>
      <c r="D35" s="8"/>
      <c r="E35" s="8"/>
      <c r="F35" s="8"/>
      <c r="G35" s="8"/>
      <c r="H35" s="8"/>
      <c r="I35" s="8"/>
      <c r="J35" s="8"/>
      <c r="K35" s="8"/>
      <c r="L35" s="8"/>
      <c r="M35" s="8"/>
      <c r="N35" s="8"/>
      <c r="O35" s="8"/>
      <c r="P35" s="8"/>
    </row>
    <row r="36" ht="15.75" customHeight="1">
      <c r="A36" s="4"/>
      <c r="B36" s="4"/>
      <c r="C36" s="4"/>
      <c r="D36" s="4"/>
      <c r="E36" s="4"/>
      <c r="F36" s="4"/>
      <c r="G36" s="4"/>
      <c r="H36" s="4"/>
      <c r="I36" s="4"/>
      <c r="J36" s="4"/>
      <c r="K36" s="4"/>
      <c r="L36" s="4"/>
      <c r="M36" s="4"/>
      <c r="N36" s="4"/>
      <c r="O36" s="4"/>
      <c r="P36" s="4"/>
    </row>
    <row r="37" ht="15.75" customHeight="1">
      <c r="A37" s="8"/>
      <c r="B37" s="8"/>
      <c r="C37" s="8"/>
      <c r="D37" s="8"/>
      <c r="E37" s="8"/>
      <c r="F37" s="8"/>
      <c r="G37" s="8"/>
      <c r="H37" s="8"/>
      <c r="I37" s="8"/>
      <c r="J37" s="8"/>
      <c r="K37" s="8"/>
      <c r="L37" s="8"/>
      <c r="M37" s="8"/>
      <c r="N37" s="8"/>
      <c r="O37" s="8"/>
      <c r="P37" s="8"/>
    </row>
    <row r="38" ht="15.75" customHeight="1">
      <c r="A38" s="4"/>
      <c r="B38" s="4"/>
      <c r="C38" s="4"/>
      <c r="D38" s="4"/>
      <c r="E38" s="4"/>
      <c r="F38" s="4"/>
      <c r="G38" s="4"/>
      <c r="H38" s="4"/>
      <c r="I38" s="4"/>
      <c r="J38" s="4"/>
      <c r="K38" s="4"/>
      <c r="L38" s="4"/>
      <c r="M38" s="4"/>
      <c r="N38" s="4"/>
      <c r="O38" s="4"/>
      <c r="P38" s="4"/>
    </row>
    <row r="39" ht="15.75" customHeight="1">
      <c r="A39" s="8"/>
      <c r="B39" s="8"/>
      <c r="C39" s="8"/>
      <c r="D39" s="8"/>
      <c r="E39" s="8"/>
      <c r="F39" s="8"/>
      <c r="G39" s="8"/>
      <c r="H39" s="8"/>
      <c r="I39" s="8"/>
      <c r="J39" s="8"/>
      <c r="K39" s="8"/>
      <c r="L39" s="8"/>
      <c r="M39" s="8"/>
      <c r="N39" s="8"/>
      <c r="O39" s="8"/>
      <c r="P39" s="8"/>
    </row>
    <row r="40" ht="15.75" customHeight="1">
      <c r="A40" s="4"/>
      <c r="B40" s="4"/>
      <c r="C40" s="4"/>
      <c r="D40" s="4"/>
      <c r="E40" s="4"/>
      <c r="F40" s="4"/>
      <c r="G40" s="4"/>
      <c r="H40" s="4"/>
      <c r="I40" s="4"/>
      <c r="J40" s="4"/>
      <c r="K40" s="4"/>
      <c r="L40" s="4"/>
      <c r="M40" s="4"/>
      <c r="N40" s="4"/>
      <c r="O40" s="4"/>
      <c r="P40" s="4"/>
    </row>
    <row r="41" ht="15.75" customHeight="1">
      <c r="A41" s="8"/>
      <c r="B41" s="8"/>
      <c r="C41" s="8"/>
      <c r="D41" s="8"/>
      <c r="E41" s="8"/>
      <c r="F41" s="8"/>
      <c r="G41" s="8"/>
      <c r="H41" s="8"/>
      <c r="I41" s="8"/>
      <c r="J41" s="8"/>
      <c r="K41" s="8"/>
      <c r="L41" s="8"/>
      <c r="M41" s="8"/>
      <c r="N41" s="8"/>
      <c r="O41" s="8"/>
      <c r="P41" s="8"/>
    </row>
    <row r="42" ht="15.75" customHeight="1">
      <c r="A42" s="4"/>
      <c r="B42" s="4"/>
      <c r="C42" s="4"/>
      <c r="D42" s="4"/>
      <c r="E42" s="4"/>
      <c r="F42" s="4"/>
      <c r="G42" s="4"/>
      <c r="H42" s="4"/>
      <c r="I42" s="4"/>
      <c r="J42" s="4"/>
      <c r="K42" s="4"/>
      <c r="L42" s="4"/>
      <c r="M42" s="4"/>
      <c r="N42" s="4"/>
      <c r="O42" s="4"/>
      <c r="P42" s="4"/>
    </row>
    <row r="43" ht="15.75" customHeight="1">
      <c r="A43" s="8"/>
      <c r="B43" s="8"/>
      <c r="C43" s="8"/>
      <c r="D43" s="8"/>
      <c r="E43" s="8"/>
      <c r="F43" s="8"/>
      <c r="G43" s="8"/>
      <c r="H43" s="8"/>
      <c r="I43" s="8"/>
      <c r="J43" s="8"/>
      <c r="K43" s="8"/>
      <c r="L43" s="8"/>
      <c r="M43" s="8"/>
      <c r="N43" s="8"/>
      <c r="O43" s="8"/>
      <c r="P43" s="8"/>
    </row>
    <row r="44" ht="15.75" customHeight="1">
      <c r="A44" s="4"/>
      <c r="B44" s="4"/>
      <c r="C44" s="4"/>
      <c r="D44" s="4"/>
      <c r="E44" s="4"/>
      <c r="F44" s="4"/>
      <c r="G44" s="4"/>
      <c r="H44" s="4"/>
      <c r="I44" s="4"/>
      <c r="J44" s="4"/>
      <c r="K44" s="4"/>
      <c r="L44" s="4"/>
      <c r="M44" s="4"/>
      <c r="N44" s="4"/>
      <c r="O44" s="4"/>
      <c r="P44" s="4"/>
    </row>
    <row r="45" ht="15.75" customHeight="1">
      <c r="A45" s="8"/>
      <c r="B45" s="8"/>
      <c r="C45" s="8"/>
      <c r="D45" s="8"/>
      <c r="E45" s="8"/>
      <c r="F45" s="8"/>
      <c r="G45" s="8"/>
      <c r="H45" s="8"/>
      <c r="I45" s="8"/>
      <c r="J45" s="8"/>
      <c r="K45" s="8"/>
      <c r="L45" s="8"/>
      <c r="M45" s="8"/>
      <c r="N45" s="8"/>
      <c r="O45" s="8"/>
      <c r="P45" s="8"/>
    </row>
    <row r="46" ht="15.75" customHeight="1">
      <c r="A46" s="4"/>
      <c r="B46" s="4"/>
      <c r="C46" s="4"/>
      <c r="D46" s="4"/>
      <c r="E46" s="4"/>
      <c r="F46" s="4"/>
      <c r="G46" s="4"/>
      <c r="H46" s="4"/>
      <c r="I46" s="4"/>
      <c r="J46" s="4"/>
      <c r="K46" s="4"/>
      <c r="L46" s="4"/>
      <c r="M46" s="4"/>
      <c r="N46" s="4"/>
      <c r="O46" s="4"/>
      <c r="P46" s="4"/>
    </row>
    <row r="47" ht="15.75" customHeight="1">
      <c r="A47" s="8"/>
      <c r="B47" s="8"/>
      <c r="C47" s="8"/>
      <c r="D47" s="8"/>
      <c r="E47" s="8"/>
      <c r="F47" s="8"/>
      <c r="G47" s="8"/>
      <c r="H47" s="8"/>
      <c r="I47" s="8"/>
      <c r="J47" s="8"/>
      <c r="K47" s="8"/>
      <c r="L47" s="8"/>
      <c r="M47" s="8"/>
      <c r="N47" s="8"/>
      <c r="O47" s="8"/>
      <c r="P47" s="8"/>
    </row>
    <row r="48" ht="15.75" customHeight="1">
      <c r="A48" s="4"/>
      <c r="B48" s="4"/>
      <c r="C48" s="4"/>
      <c r="D48" s="4"/>
      <c r="E48" s="4"/>
      <c r="F48" s="4"/>
      <c r="G48" s="4"/>
      <c r="H48" s="4"/>
      <c r="I48" s="4"/>
      <c r="J48" s="4"/>
      <c r="K48" s="4"/>
      <c r="L48" s="4"/>
      <c r="M48" s="4"/>
      <c r="N48" s="4"/>
      <c r="O48" s="4"/>
      <c r="P48" s="4"/>
    </row>
    <row r="49" ht="15.75" customHeight="1">
      <c r="A49" s="8"/>
      <c r="B49" s="8"/>
      <c r="C49" s="8"/>
      <c r="D49" s="8"/>
      <c r="E49" s="8"/>
      <c r="F49" s="8"/>
      <c r="G49" s="8"/>
      <c r="H49" s="8"/>
      <c r="I49" s="8"/>
      <c r="J49" s="8"/>
      <c r="K49" s="8"/>
      <c r="L49" s="8"/>
      <c r="M49" s="8"/>
      <c r="N49" s="8"/>
      <c r="O49" s="8"/>
      <c r="P49" s="8"/>
    </row>
    <row r="50" ht="15.75" customHeight="1">
      <c r="A50" s="4"/>
      <c r="B50" s="4"/>
      <c r="C50" s="4"/>
      <c r="D50" s="4"/>
      <c r="E50" s="4"/>
      <c r="F50" s="4"/>
      <c r="G50" s="4"/>
      <c r="H50" s="4"/>
      <c r="I50" s="4"/>
      <c r="J50" s="4"/>
      <c r="K50" s="4"/>
      <c r="L50" s="4"/>
      <c r="M50" s="4"/>
      <c r="N50" s="4"/>
      <c r="O50" s="4"/>
      <c r="P50" s="4"/>
    </row>
    <row r="51" ht="15.75" customHeight="1">
      <c r="A51" s="8"/>
      <c r="B51" s="8"/>
      <c r="C51" s="8"/>
      <c r="D51" s="8"/>
      <c r="E51" s="8"/>
      <c r="F51" s="8"/>
      <c r="G51" s="8"/>
      <c r="H51" s="8"/>
      <c r="I51" s="8"/>
      <c r="J51" s="8"/>
      <c r="K51" s="8"/>
      <c r="L51" s="8"/>
      <c r="M51" s="8"/>
      <c r="N51" s="8"/>
      <c r="O51" s="8"/>
      <c r="P51" s="8"/>
    </row>
    <row r="52" ht="15.75" customHeight="1">
      <c r="A52" s="4"/>
      <c r="B52" s="4"/>
      <c r="C52" s="4"/>
      <c r="D52" s="4"/>
      <c r="E52" s="4"/>
      <c r="F52" s="4"/>
      <c r="G52" s="4"/>
      <c r="H52" s="4"/>
      <c r="I52" s="4"/>
      <c r="J52" s="4"/>
      <c r="K52" s="4"/>
      <c r="L52" s="4"/>
      <c r="M52" s="4"/>
      <c r="N52" s="4"/>
      <c r="O52" s="4"/>
      <c r="P52" s="4"/>
    </row>
    <row r="53" ht="15.75" customHeight="1">
      <c r="A53" s="8"/>
      <c r="B53" s="8"/>
      <c r="C53" s="8"/>
      <c r="D53" s="8"/>
      <c r="E53" s="8"/>
      <c r="F53" s="8"/>
      <c r="G53" s="8"/>
      <c r="H53" s="8"/>
      <c r="I53" s="8"/>
      <c r="J53" s="8"/>
      <c r="K53" s="8"/>
      <c r="L53" s="8"/>
      <c r="M53" s="8"/>
      <c r="N53" s="8"/>
      <c r="O53" s="8"/>
      <c r="P53" s="8"/>
    </row>
    <row r="54" ht="15.75" customHeight="1">
      <c r="A54" s="4"/>
      <c r="B54" s="4"/>
      <c r="C54" s="4"/>
      <c r="D54" s="4"/>
      <c r="E54" s="4"/>
      <c r="F54" s="4"/>
      <c r="G54" s="4"/>
      <c r="H54" s="4"/>
      <c r="I54" s="4"/>
      <c r="J54" s="4"/>
      <c r="K54" s="4"/>
      <c r="L54" s="4"/>
      <c r="M54" s="4"/>
      <c r="N54" s="4"/>
      <c r="O54" s="4"/>
      <c r="P54" s="4"/>
    </row>
    <row r="55" ht="15.75" customHeight="1">
      <c r="A55" s="8"/>
      <c r="B55" s="8"/>
      <c r="C55" s="8"/>
      <c r="D55" s="8"/>
      <c r="E55" s="8"/>
      <c r="F55" s="8"/>
      <c r="G55" s="8"/>
      <c r="H55" s="8"/>
      <c r="I55" s="8"/>
      <c r="J55" s="8"/>
      <c r="K55" s="8"/>
      <c r="L55" s="8"/>
      <c r="M55" s="8"/>
      <c r="N55" s="8"/>
      <c r="O55" s="8"/>
      <c r="P55" s="8"/>
    </row>
    <row r="56" ht="15.75" customHeight="1">
      <c r="A56" s="4"/>
      <c r="B56" s="4"/>
      <c r="C56" s="4"/>
      <c r="D56" s="4"/>
      <c r="E56" s="4"/>
      <c r="F56" s="4"/>
      <c r="G56" s="4"/>
      <c r="H56" s="4"/>
      <c r="I56" s="4"/>
      <c r="J56" s="4"/>
      <c r="K56" s="4"/>
      <c r="L56" s="4"/>
      <c r="M56" s="4"/>
      <c r="N56" s="4"/>
      <c r="O56" s="4"/>
      <c r="P56" s="4"/>
    </row>
    <row r="57" ht="15.75" customHeight="1">
      <c r="A57" s="8"/>
      <c r="B57" s="8"/>
      <c r="C57" s="8"/>
      <c r="D57" s="8"/>
      <c r="E57" s="8"/>
      <c r="F57" s="8"/>
      <c r="G57" s="8"/>
      <c r="H57" s="8"/>
      <c r="I57" s="8"/>
      <c r="J57" s="8"/>
      <c r="K57" s="8"/>
      <c r="L57" s="8"/>
      <c r="M57" s="8"/>
      <c r="N57" s="8"/>
      <c r="O57" s="8"/>
      <c r="P57" s="8"/>
    </row>
    <row r="58" ht="15.75" customHeight="1">
      <c r="A58" s="4"/>
      <c r="B58" s="4"/>
      <c r="C58" s="4"/>
      <c r="D58" s="4"/>
      <c r="E58" s="4"/>
      <c r="F58" s="4"/>
      <c r="G58" s="4"/>
      <c r="H58" s="4"/>
      <c r="I58" s="4"/>
      <c r="J58" s="4"/>
      <c r="K58" s="4"/>
      <c r="L58" s="4"/>
      <c r="M58" s="4"/>
      <c r="N58" s="4"/>
      <c r="O58" s="4"/>
      <c r="P58" s="4"/>
    </row>
    <row r="59" ht="15.75" customHeight="1">
      <c r="A59" s="8"/>
      <c r="B59" s="8"/>
      <c r="C59" s="8"/>
      <c r="D59" s="8"/>
      <c r="E59" s="8"/>
      <c r="F59" s="8"/>
      <c r="G59" s="8"/>
      <c r="H59" s="8"/>
      <c r="I59" s="8"/>
      <c r="J59" s="8"/>
      <c r="K59" s="8"/>
      <c r="L59" s="8"/>
      <c r="M59" s="8"/>
      <c r="N59" s="8"/>
      <c r="O59" s="8"/>
      <c r="P59" s="8"/>
    </row>
    <row r="60" ht="15.75" customHeight="1">
      <c r="A60" s="4"/>
      <c r="B60" s="4"/>
      <c r="C60" s="4"/>
      <c r="D60" s="4"/>
      <c r="E60" s="4"/>
      <c r="F60" s="4"/>
      <c r="G60" s="4"/>
      <c r="H60" s="4"/>
      <c r="I60" s="4"/>
      <c r="J60" s="4"/>
      <c r="K60" s="4"/>
      <c r="L60" s="4"/>
      <c r="M60" s="4"/>
      <c r="N60" s="4"/>
      <c r="O60" s="4"/>
      <c r="P60" s="4"/>
    </row>
    <row r="61" ht="15.75" customHeight="1">
      <c r="A61" s="8"/>
      <c r="B61" s="8"/>
      <c r="C61" s="8"/>
      <c r="D61" s="8"/>
      <c r="E61" s="8"/>
      <c r="F61" s="8"/>
      <c r="G61" s="8"/>
      <c r="H61" s="8"/>
      <c r="I61" s="8"/>
      <c r="J61" s="8"/>
      <c r="K61" s="8"/>
      <c r="L61" s="8"/>
      <c r="M61" s="8"/>
      <c r="N61" s="8"/>
      <c r="O61" s="8"/>
      <c r="P61" s="8"/>
    </row>
    <row r="62" ht="15.75" customHeight="1">
      <c r="A62" s="4"/>
      <c r="B62" s="4"/>
      <c r="C62" s="4"/>
      <c r="D62" s="4"/>
      <c r="E62" s="4"/>
      <c r="F62" s="4"/>
      <c r="G62" s="4"/>
      <c r="H62" s="4"/>
      <c r="I62" s="4"/>
      <c r="J62" s="4"/>
      <c r="K62" s="4"/>
      <c r="L62" s="4"/>
      <c r="M62" s="4"/>
      <c r="N62" s="4"/>
      <c r="O62" s="4"/>
      <c r="P62" s="4"/>
    </row>
    <row r="63" ht="15.75" customHeight="1">
      <c r="A63" s="8"/>
      <c r="B63" s="8"/>
      <c r="C63" s="8"/>
      <c r="D63" s="8"/>
      <c r="E63" s="8"/>
      <c r="F63" s="8"/>
      <c r="G63" s="8"/>
      <c r="H63" s="8"/>
      <c r="I63" s="8"/>
      <c r="J63" s="8"/>
      <c r="K63" s="8"/>
      <c r="L63" s="8"/>
      <c r="M63" s="8"/>
      <c r="N63" s="8"/>
      <c r="O63" s="8"/>
      <c r="P63" s="8"/>
    </row>
    <row r="64" ht="15.75" customHeight="1">
      <c r="A64" s="4"/>
      <c r="B64" s="4"/>
      <c r="C64" s="4"/>
      <c r="D64" s="4"/>
      <c r="E64" s="4"/>
      <c r="F64" s="4"/>
      <c r="G64" s="4"/>
      <c r="H64" s="4"/>
      <c r="I64" s="4"/>
      <c r="J64" s="4"/>
      <c r="K64" s="4"/>
      <c r="L64" s="4"/>
      <c r="M64" s="4"/>
      <c r="N64" s="4"/>
      <c r="O64" s="4"/>
      <c r="P64" s="4"/>
    </row>
    <row r="65" ht="15.75" customHeight="1">
      <c r="A65" s="8"/>
      <c r="B65" s="8"/>
      <c r="C65" s="8"/>
      <c r="D65" s="8"/>
      <c r="E65" s="8"/>
      <c r="F65" s="8"/>
      <c r="G65" s="8"/>
      <c r="H65" s="8"/>
      <c r="I65" s="8"/>
      <c r="J65" s="8"/>
      <c r="K65" s="8"/>
      <c r="L65" s="8"/>
      <c r="M65" s="8"/>
      <c r="N65" s="8"/>
      <c r="O65" s="8"/>
      <c r="P65" s="8"/>
    </row>
    <row r="66" ht="15.75" customHeight="1">
      <c r="A66" s="4"/>
      <c r="B66" s="4"/>
      <c r="C66" s="4"/>
      <c r="D66" s="4"/>
      <c r="E66" s="4"/>
      <c r="F66" s="4"/>
      <c r="G66" s="4"/>
      <c r="H66" s="4"/>
      <c r="I66" s="4"/>
      <c r="J66" s="4"/>
      <c r="K66" s="4"/>
      <c r="L66" s="4"/>
      <c r="M66" s="4"/>
      <c r="N66" s="4"/>
      <c r="O66" s="4"/>
      <c r="P66" s="4"/>
    </row>
    <row r="67" ht="15.75" customHeight="1">
      <c r="A67" s="8"/>
      <c r="B67" s="8"/>
      <c r="C67" s="8"/>
      <c r="D67" s="8"/>
      <c r="E67" s="8"/>
      <c r="F67" s="8"/>
      <c r="G67" s="8"/>
      <c r="H67" s="8"/>
      <c r="I67" s="8"/>
      <c r="J67" s="8"/>
      <c r="K67" s="8"/>
      <c r="L67" s="8"/>
      <c r="M67" s="8"/>
      <c r="N67" s="8"/>
      <c r="O67" s="8"/>
      <c r="P67" s="8"/>
    </row>
    <row r="68" ht="15.75" customHeight="1">
      <c r="A68" s="4"/>
      <c r="B68" s="4"/>
      <c r="C68" s="4"/>
      <c r="D68" s="4"/>
      <c r="E68" s="4"/>
      <c r="F68" s="4"/>
      <c r="G68" s="4"/>
      <c r="H68" s="4"/>
      <c r="I68" s="4"/>
      <c r="J68" s="4"/>
      <c r="K68" s="4"/>
      <c r="L68" s="4"/>
      <c r="M68" s="4"/>
      <c r="N68" s="4"/>
      <c r="O68" s="4"/>
      <c r="P68" s="4"/>
    </row>
    <row r="69" ht="15.75" customHeight="1">
      <c r="A69" s="8"/>
      <c r="B69" s="8"/>
      <c r="C69" s="8"/>
      <c r="D69" s="8"/>
      <c r="E69" s="8"/>
      <c r="F69" s="8"/>
      <c r="G69" s="8"/>
      <c r="H69" s="8"/>
      <c r="I69" s="8"/>
      <c r="J69" s="8"/>
      <c r="K69" s="8"/>
      <c r="L69" s="8"/>
      <c r="M69" s="8"/>
      <c r="N69" s="8"/>
      <c r="O69" s="8"/>
      <c r="P69" s="8"/>
    </row>
    <row r="70" ht="15.75" customHeight="1">
      <c r="A70" s="4"/>
      <c r="B70" s="4"/>
      <c r="C70" s="4"/>
      <c r="D70" s="4"/>
      <c r="E70" s="4"/>
      <c r="F70" s="4"/>
      <c r="G70" s="4"/>
      <c r="H70" s="4"/>
      <c r="I70" s="4"/>
      <c r="J70" s="4"/>
      <c r="K70" s="4"/>
      <c r="L70" s="4"/>
      <c r="M70" s="4"/>
      <c r="N70" s="4"/>
      <c r="O70" s="4"/>
      <c r="P70" s="4"/>
    </row>
    <row r="71" ht="15.75" customHeight="1">
      <c r="A71" s="8"/>
      <c r="B71" s="8"/>
      <c r="C71" s="8"/>
      <c r="D71" s="8"/>
      <c r="E71" s="8"/>
      <c r="F71" s="8"/>
      <c r="G71" s="8"/>
      <c r="H71" s="8"/>
      <c r="I71" s="8"/>
      <c r="J71" s="8"/>
      <c r="K71" s="8"/>
      <c r="L71" s="8"/>
      <c r="M71" s="8"/>
      <c r="N71" s="8"/>
      <c r="O71" s="8"/>
      <c r="P71" s="8"/>
    </row>
    <row r="72" ht="15.75" customHeight="1">
      <c r="A72" s="4"/>
      <c r="B72" s="4"/>
      <c r="C72" s="4"/>
      <c r="D72" s="4"/>
      <c r="E72" s="4"/>
      <c r="F72" s="4"/>
      <c r="G72" s="4"/>
      <c r="H72" s="4"/>
      <c r="I72" s="4"/>
      <c r="J72" s="4"/>
      <c r="K72" s="4"/>
      <c r="L72" s="4"/>
      <c r="M72" s="4"/>
      <c r="N72" s="4"/>
      <c r="O72" s="4"/>
      <c r="P72" s="4"/>
    </row>
    <row r="73" ht="15.75" customHeight="1">
      <c r="A73" s="8"/>
      <c r="B73" s="8"/>
      <c r="C73" s="8"/>
      <c r="D73" s="8"/>
      <c r="E73" s="8"/>
      <c r="F73" s="8"/>
      <c r="G73" s="8"/>
      <c r="H73" s="8"/>
      <c r="I73" s="8"/>
      <c r="J73" s="8"/>
      <c r="K73" s="8"/>
      <c r="L73" s="8"/>
      <c r="M73" s="8"/>
      <c r="N73" s="8"/>
      <c r="O73" s="8"/>
      <c r="P73" s="8"/>
    </row>
    <row r="74" ht="15.75" customHeight="1">
      <c r="A74" s="4"/>
      <c r="B74" s="4"/>
      <c r="C74" s="4"/>
      <c r="D74" s="4"/>
      <c r="E74" s="4"/>
      <c r="F74" s="4"/>
      <c r="G74" s="4"/>
      <c r="H74" s="4"/>
      <c r="I74" s="4"/>
      <c r="J74" s="4"/>
      <c r="K74" s="4"/>
      <c r="L74" s="4"/>
      <c r="M74" s="4"/>
      <c r="N74" s="4"/>
      <c r="O74" s="4"/>
      <c r="P74" s="4"/>
    </row>
    <row r="75" ht="15.75" customHeight="1">
      <c r="A75" s="8"/>
      <c r="B75" s="8"/>
      <c r="C75" s="8"/>
      <c r="D75" s="8"/>
      <c r="E75" s="8"/>
      <c r="F75" s="8"/>
      <c r="G75" s="8"/>
      <c r="H75" s="8"/>
      <c r="I75" s="8"/>
      <c r="J75" s="8"/>
      <c r="K75" s="8"/>
      <c r="L75" s="8"/>
      <c r="M75" s="8"/>
      <c r="N75" s="8"/>
      <c r="O75" s="8"/>
      <c r="P75" s="8"/>
    </row>
    <row r="76" ht="15.75" customHeight="1">
      <c r="A76" s="4"/>
      <c r="B76" s="4"/>
      <c r="C76" s="4"/>
      <c r="D76" s="4"/>
      <c r="E76" s="4"/>
      <c r="F76" s="4"/>
      <c r="G76" s="4"/>
      <c r="H76" s="4"/>
      <c r="I76" s="4"/>
      <c r="J76" s="4"/>
      <c r="K76" s="4"/>
      <c r="L76" s="4"/>
      <c r="M76" s="4"/>
      <c r="N76" s="4"/>
      <c r="O76" s="4"/>
      <c r="P76" s="4"/>
    </row>
    <row r="77" ht="15.75" customHeight="1">
      <c r="A77" s="8"/>
      <c r="B77" s="8"/>
      <c r="C77" s="8"/>
      <c r="D77" s="8"/>
      <c r="E77" s="8"/>
      <c r="F77" s="8"/>
      <c r="G77" s="8"/>
      <c r="H77" s="8"/>
      <c r="I77" s="8"/>
      <c r="J77" s="8"/>
      <c r="K77" s="8"/>
      <c r="L77" s="8"/>
      <c r="M77" s="8"/>
      <c r="N77" s="8"/>
      <c r="O77" s="8"/>
      <c r="P77" s="8"/>
    </row>
    <row r="78" ht="15.75" customHeight="1">
      <c r="A78" s="4"/>
      <c r="B78" s="4"/>
      <c r="C78" s="4"/>
      <c r="D78" s="4"/>
      <c r="E78" s="4"/>
      <c r="F78" s="4"/>
      <c r="G78" s="4"/>
      <c r="H78" s="4"/>
      <c r="I78" s="4"/>
      <c r="J78" s="4"/>
      <c r="K78" s="4"/>
      <c r="L78" s="4"/>
      <c r="M78" s="4"/>
      <c r="N78" s="4"/>
      <c r="O78" s="4"/>
      <c r="P78" s="4"/>
    </row>
    <row r="79" ht="15.75" customHeight="1">
      <c r="A79" s="8"/>
      <c r="B79" s="8"/>
      <c r="C79" s="8"/>
      <c r="D79" s="8"/>
      <c r="E79" s="8"/>
      <c r="F79" s="8"/>
      <c r="G79" s="8"/>
      <c r="H79" s="8"/>
      <c r="I79" s="8"/>
      <c r="J79" s="8"/>
      <c r="K79" s="8"/>
      <c r="L79" s="8"/>
      <c r="M79" s="8"/>
      <c r="N79" s="8"/>
      <c r="O79" s="8"/>
      <c r="P79" s="8"/>
    </row>
    <row r="80" ht="15.75" customHeight="1">
      <c r="A80" s="4"/>
      <c r="B80" s="4"/>
      <c r="C80" s="4"/>
      <c r="D80" s="4"/>
      <c r="E80" s="4"/>
      <c r="F80" s="4"/>
      <c r="G80" s="4"/>
      <c r="H80" s="4"/>
      <c r="I80" s="4"/>
      <c r="J80" s="4"/>
      <c r="K80" s="4"/>
      <c r="L80" s="4"/>
      <c r="M80" s="4"/>
      <c r="N80" s="4"/>
      <c r="O80" s="4"/>
      <c r="P80" s="4"/>
    </row>
    <row r="81" ht="15.75" customHeight="1">
      <c r="A81" s="8"/>
      <c r="B81" s="8"/>
      <c r="C81" s="8"/>
      <c r="D81" s="8"/>
      <c r="E81" s="8"/>
      <c r="F81" s="8"/>
      <c r="G81" s="8"/>
      <c r="H81" s="8"/>
      <c r="I81" s="8"/>
      <c r="J81" s="8"/>
      <c r="K81" s="8"/>
      <c r="L81" s="8"/>
      <c r="M81" s="8"/>
      <c r="N81" s="8"/>
      <c r="O81" s="8"/>
      <c r="P81" s="8"/>
    </row>
    <row r="82" ht="15.75" customHeight="1">
      <c r="A82" s="4"/>
      <c r="B82" s="4"/>
      <c r="C82" s="4"/>
      <c r="D82" s="4"/>
      <c r="E82" s="4"/>
      <c r="F82" s="4"/>
      <c r="G82" s="4"/>
      <c r="H82" s="4"/>
      <c r="I82" s="4"/>
      <c r="J82" s="4"/>
      <c r="K82" s="4"/>
      <c r="L82" s="4"/>
      <c r="M82" s="4"/>
      <c r="N82" s="4"/>
      <c r="O82" s="4"/>
      <c r="P82" s="4"/>
    </row>
    <row r="83" ht="15.75" customHeight="1">
      <c r="A83" s="8"/>
      <c r="B83" s="8"/>
      <c r="C83" s="8"/>
      <c r="D83" s="8"/>
      <c r="E83" s="8"/>
      <c r="F83" s="8"/>
      <c r="G83" s="8"/>
      <c r="H83" s="8"/>
      <c r="I83" s="8"/>
      <c r="J83" s="8"/>
      <c r="K83" s="8"/>
      <c r="L83" s="8"/>
      <c r="M83" s="8"/>
      <c r="N83" s="8"/>
      <c r="O83" s="8"/>
      <c r="P83" s="8"/>
    </row>
    <row r="84" ht="15.75" customHeight="1">
      <c r="A84" s="4"/>
      <c r="B84" s="4"/>
      <c r="C84" s="4"/>
      <c r="D84" s="4"/>
      <c r="E84" s="4"/>
      <c r="F84" s="4"/>
      <c r="G84" s="4"/>
      <c r="H84" s="4"/>
      <c r="I84" s="4"/>
      <c r="J84" s="4"/>
      <c r="K84" s="4"/>
      <c r="L84" s="4"/>
      <c r="M84" s="4"/>
      <c r="N84" s="4"/>
      <c r="O84" s="4"/>
      <c r="P84" s="4"/>
    </row>
    <row r="85" ht="15.75" customHeight="1">
      <c r="A85" s="8"/>
      <c r="B85" s="8"/>
      <c r="C85" s="8"/>
      <c r="D85" s="8"/>
      <c r="E85" s="8"/>
      <c r="F85" s="8"/>
      <c r="G85" s="8"/>
      <c r="H85" s="8"/>
      <c r="I85" s="8"/>
      <c r="J85" s="8"/>
      <c r="K85" s="8"/>
      <c r="L85" s="8"/>
      <c r="M85" s="8"/>
      <c r="N85" s="8"/>
      <c r="O85" s="8"/>
      <c r="P85" s="8"/>
    </row>
    <row r="86" ht="15.75" customHeight="1">
      <c r="A86" s="4"/>
      <c r="B86" s="4"/>
      <c r="C86" s="4"/>
      <c r="D86" s="4"/>
      <c r="E86" s="4"/>
      <c r="F86" s="4"/>
      <c r="G86" s="4"/>
      <c r="H86" s="4"/>
      <c r="I86" s="4"/>
      <c r="J86" s="4"/>
      <c r="K86" s="4"/>
      <c r="L86" s="4"/>
      <c r="M86" s="4"/>
      <c r="N86" s="4"/>
      <c r="O86" s="4"/>
      <c r="P86" s="4"/>
    </row>
    <row r="87" ht="15.75" customHeight="1">
      <c r="A87" s="8"/>
      <c r="B87" s="8"/>
      <c r="C87" s="8"/>
      <c r="D87" s="8"/>
      <c r="E87" s="8"/>
      <c r="F87" s="8"/>
      <c r="G87" s="8"/>
      <c r="H87" s="8"/>
      <c r="I87" s="8"/>
      <c r="J87" s="8"/>
      <c r="K87" s="8"/>
      <c r="L87" s="8"/>
      <c r="M87" s="8"/>
      <c r="N87" s="8"/>
      <c r="O87" s="8"/>
      <c r="P87" s="8"/>
    </row>
    <row r="88" ht="15.75" customHeight="1">
      <c r="A88" s="4"/>
      <c r="B88" s="4"/>
      <c r="C88" s="4"/>
      <c r="D88" s="4"/>
      <c r="E88" s="4"/>
      <c r="F88" s="4"/>
      <c r="G88" s="4"/>
      <c r="H88" s="4"/>
      <c r="I88" s="4"/>
      <c r="J88" s="4"/>
      <c r="K88" s="4"/>
      <c r="L88" s="4"/>
      <c r="M88" s="4"/>
      <c r="N88" s="4"/>
      <c r="O88" s="4"/>
      <c r="P88" s="4"/>
    </row>
    <row r="89" ht="15.75" customHeight="1">
      <c r="A89" s="8"/>
      <c r="B89" s="8"/>
      <c r="C89" s="8"/>
      <c r="D89" s="8"/>
      <c r="E89" s="8"/>
      <c r="F89" s="8"/>
      <c r="G89" s="8"/>
      <c r="H89" s="8"/>
      <c r="I89" s="8"/>
      <c r="J89" s="8"/>
      <c r="K89" s="8"/>
      <c r="L89" s="8"/>
      <c r="M89" s="8"/>
      <c r="N89" s="8"/>
      <c r="O89" s="8"/>
      <c r="P89" s="8"/>
    </row>
    <row r="90" ht="15.75" customHeight="1">
      <c r="A90" s="4"/>
      <c r="B90" s="4"/>
      <c r="C90" s="4"/>
      <c r="D90" s="4"/>
      <c r="E90" s="4"/>
      <c r="F90" s="4"/>
      <c r="G90" s="4"/>
      <c r="H90" s="4"/>
      <c r="I90" s="4"/>
      <c r="J90" s="4"/>
      <c r="K90" s="4"/>
      <c r="L90" s="4"/>
      <c r="M90" s="4"/>
      <c r="N90" s="4"/>
      <c r="O90" s="4"/>
      <c r="P90" s="4"/>
    </row>
    <row r="91" ht="15.75" customHeight="1">
      <c r="A91" s="8"/>
      <c r="B91" s="8"/>
      <c r="C91" s="8"/>
      <c r="D91" s="8"/>
      <c r="E91" s="8"/>
      <c r="F91" s="8"/>
      <c r="G91" s="8"/>
      <c r="H91" s="8"/>
      <c r="I91" s="8"/>
      <c r="J91" s="8"/>
      <c r="K91" s="8"/>
      <c r="L91" s="8"/>
      <c r="M91" s="8"/>
      <c r="N91" s="8"/>
      <c r="O91" s="8"/>
      <c r="P91" s="8"/>
    </row>
    <row r="92" ht="15.75" customHeight="1">
      <c r="A92" s="4"/>
      <c r="B92" s="4"/>
      <c r="C92" s="4"/>
      <c r="D92" s="4"/>
      <c r="E92" s="4"/>
      <c r="F92" s="4"/>
      <c r="G92" s="4"/>
      <c r="H92" s="4"/>
      <c r="I92" s="4"/>
      <c r="J92" s="4"/>
      <c r="K92" s="4"/>
      <c r="L92" s="4"/>
      <c r="M92" s="4"/>
      <c r="N92" s="4"/>
      <c r="O92" s="4"/>
      <c r="P92" s="4"/>
    </row>
    <row r="93" ht="15.75" customHeight="1">
      <c r="A93" s="8"/>
      <c r="B93" s="8"/>
      <c r="C93" s="8"/>
      <c r="D93" s="8"/>
      <c r="E93" s="8"/>
      <c r="F93" s="8"/>
      <c r="G93" s="8"/>
      <c r="H93" s="8"/>
      <c r="I93" s="8"/>
      <c r="J93" s="8"/>
      <c r="K93" s="8"/>
      <c r="L93" s="8"/>
      <c r="M93" s="8"/>
      <c r="N93" s="8"/>
      <c r="O93" s="8"/>
      <c r="P93" s="8"/>
    </row>
    <row r="94" ht="15.75" customHeight="1">
      <c r="A94" s="4"/>
      <c r="B94" s="4"/>
      <c r="C94" s="4"/>
      <c r="D94" s="4"/>
      <c r="E94" s="4"/>
      <c r="F94" s="4"/>
      <c r="G94" s="4"/>
      <c r="H94" s="4"/>
      <c r="I94" s="4"/>
      <c r="J94" s="4"/>
      <c r="K94" s="4"/>
      <c r="L94" s="4"/>
      <c r="M94" s="4"/>
      <c r="N94" s="4"/>
      <c r="O94" s="4"/>
      <c r="P94" s="4"/>
    </row>
    <row r="95" ht="15.75" customHeight="1">
      <c r="A95" s="8"/>
      <c r="B95" s="8"/>
      <c r="C95" s="8"/>
      <c r="D95" s="8"/>
      <c r="E95" s="8"/>
      <c r="F95" s="8"/>
      <c r="G95" s="8"/>
      <c r="H95" s="8"/>
      <c r="I95" s="8"/>
      <c r="J95" s="8"/>
      <c r="K95" s="8"/>
      <c r="L95" s="8"/>
      <c r="M95" s="8"/>
      <c r="N95" s="8"/>
      <c r="O95" s="8"/>
      <c r="P95" s="8"/>
    </row>
    <row r="96" ht="15.75" customHeight="1">
      <c r="A96" s="4"/>
      <c r="B96" s="4"/>
      <c r="C96" s="4"/>
      <c r="D96" s="4"/>
      <c r="E96" s="4"/>
      <c r="F96" s="4"/>
      <c r="G96" s="4"/>
      <c r="H96" s="4"/>
      <c r="I96" s="4"/>
      <c r="J96" s="4"/>
      <c r="K96" s="4"/>
      <c r="L96" s="4"/>
      <c r="M96" s="4"/>
      <c r="N96" s="4"/>
      <c r="O96" s="4"/>
      <c r="P96" s="4"/>
    </row>
    <row r="97" ht="15.75" customHeight="1">
      <c r="A97" s="8"/>
      <c r="B97" s="8"/>
      <c r="C97" s="8"/>
      <c r="D97" s="8"/>
      <c r="E97" s="8"/>
      <c r="F97" s="8"/>
      <c r="G97" s="8"/>
      <c r="H97" s="8"/>
      <c r="I97" s="8"/>
      <c r="J97" s="8"/>
      <c r="K97" s="8"/>
      <c r="L97" s="8"/>
      <c r="M97" s="8"/>
      <c r="N97" s="8"/>
      <c r="O97" s="8"/>
      <c r="P97" s="8"/>
    </row>
    <row r="98" ht="15.75" customHeight="1">
      <c r="A98" s="4"/>
      <c r="B98" s="4"/>
      <c r="C98" s="4"/>
      <c r="D98" s="4"/>
      <c r="E98" s="4"/>
      <c r="F98" s="4"/>
      <c r="G98" s="4"/>
      <c r="H98" s="4"/>
      <c r="I98" s="4"/>
      <c r="J98" s="4"/>
      <c r="K98" s="4"/>
      <c r="L98" s="4"/>
      <c r="M98" s="4"/>
      <c r="N98" s="4"/>
      <c r="O98" s="4"/>
      <c r="P98" s="4"/>
    </row>
    <row r="99" ht="15.75" customHeight="1">
      <c r="A99" s="8"/>
      <c r="B99" s="8"/>
      <c r="C99" s="8"/>
      <c r="D99" s="8"/>
      <c r="E99" s="8"/>
      <c r="F99" s="8"/>
      <c r="G99" s="8"/>
      <c r="H99" s="8"/>
      <c r="I99" s="8"/>
      <c r="J99" s="8"/>
      <c r="K99" s="8"/>
      <c r="L99" s="8"/>
      <c r="M99" s="8"/>
      <c r="N99" s="8"/>
      <c r="O99" s="8"/>
      <c r="P99" s="8"/>
    </row>
    <row r="100" ht="15.75" customHeight="1">
      <c r="A100" s="4"/>
      <c r="B100" s="4"/>
      <c r="C100" s="4"/>
      <c r="D100" s="4"/>
      <c r="E100" s="4"/>
      <c r="F100" s="4"/>
      <c r="G100" s="4"/>
      <c r="H100" s="4"/>
      <c r="I100" s="4"/>
      <c r="J100" s="4"/>
      <c r="K100" s="4"/>
      <c r="L100" s="4"/>
      <c r="M100" s="4"/>
      <c r="N100" s="4"/>
      <c r="O100" s="4"/>
      <c r="P100" s="4"/>
    </row>
    <row r="101" ht="15.75" customHeight="1">
      <c r="D101" s="18"/>
      <c r="E101" s="18"/>
      <c r="K101" s="18"/>
    </row>
    <row r="102" ht="15.75" customHeight="1">
      <c r="D102" s="18"/>
      <c r="E102" s="18"/>
      <c r="K102" s="18"/>
    </row>
    <row r="103" ht="15.75" customHeight="1">
      <c r="D103" s="18"/>
      <c r="E103" s="18"/>
      <c r="K103" s="18"/>
    </row>
    <row r="104" ht="15.75" customHeight="1">
      <c r="D104" s="18"/>
      <c r="E104" s="18"/>
      <c r="K104" s="18"/>
    </row>
    <row r="105" ht="15.75" customHeight="1">
      <c r="D105" s="18"/>
      <c r="E105" s="18"/>
      <c r="K105" s="18"/>
    </row>
    <row r="106" ht="15.75" customHeight="1">
      <c r="D106" s="18"/>
      <c r="E106" s="18"/>
      <c r="K106" s="18"/>
    </row>
    <row r="107" ht="15.75" customHeight="1">
      <c r="D107" s="18"/>
      <c r="E107" s="18"/>
      <c r="K107" s="18"/>
    </row>
    <row r="108" ht="15.75" customHeight="1">
      <c r="D108" s="18"/>
      <c r="E108" s="18"/>
      <c r="K108" s="18"/>
    </row>
    <row r="109" ht="15.75" customHeight="1">
      <c r="D109" s="18"/>
      <c r="E109" s="18"/>
      <c r="K109" s="18"/>
    </row>
    <row r="110" ht="15.75" customHeight="1">
      <c r="D110" s="18"/>
      <c r="E110" s="18"/>
      <c r="K110" s="18"/>
    </row>
    <row r="111" ht="15.75" customHeight="1">
      <c r="D111" s="18"/>
      <c r="E111" s="18"/>
      <c r="K111" s="18"/>
    </row>
    <row r="112" ht="15.75" customHeight="1">
      <c r="D112" s="18"/>
      <c r="E112" s="18"/>
      <c r="K112" s="18"/>
    </row>
    <row r="113" ht="15.75" customHeight="1">
      <c r="D113" s="18"/>
      <c r="E113" s="18"/>
      <c r="K113" s="18"/>
    </row>
    <row r="114" ht="15.75" customHeight="1">
      <c r="D114" s="18"/>
      <c r="E114" s="18"/>
      <c r="K114" s="18"/>
    </row>
    <row r="115" ht="15.75" customHeight="1">
      <c r="D115" s="18"/>
      <c r="E115" s="18"/>
      <c r="K115" s="18"/>
    </row>
    <row r="116" ht="15.75" customHeight="1">
      <c r="D116" s="18"/>
      <c r="E116" s="18"/>
      <c r="K116" s="18"/>
    </row>
    <row r="117" ht="15.75" customHeight="1">
      <c r="D117" s="18"/>
      <c r="E117" s="18"/>
      <c r="K117" s="18"/>
    </row>
    <row r="118" ht="15.75" customHeight="1">
      <c r="D118" s="18"/>
      <c r="E118" s="18"/>
      <c r="K118" s="18"/>
    </row>
    <row r="119" ht="15.75" customHeight="1">
      <c r="D119" s="18"/>
      <c r="E119" s="18"/>
      <c r="K119" s="18"/>
    </row>
    <row r="120" ht="15.75" customHeight="1">
      <c r="D120" s="18"/>
      <c r="E120" s="18"/>
      <c r="K120" s="18"/>
    </row>
    <row r="121" ht="15.75" customHeight="1">
      <c r="D121" s="18"/>
      <c r="E121" s="18"/>
      <c r="K121" s="18"/>
    </row>
    <row r="122" ht="15.75" customHeight="1">
      <c r="D122" s="18"/>
      <c r="E122" s="18"/>
      <c r="K122" s="18"/>
    </row>
    <row r="123" ht="15.75" customHeight="1">
      <c r="D123" s="18"/>
      <c r="E123" s="18"/>
      <c r="K123" s="18"/>
    </row>
    <row r="124" ht="15.75" customHeight="1">
      <c r="D124" s="18"/>
      <c r="E124" s="18"/>
      <c r="K124" s="18"/>
    </row>
    <row r="125" ht="15.75" customHeight="1">
      <c r="D125" s="18"/>
      <c r="E125" s="18"/>
      <c r="K125" s="18"/>
    </row>
    <row r="126" ht="15.75" customHeight="1">
      <c r="D126" s="18"/>
      <c r="E126" s="18"/>
      <c r="K126" s="18"/>
    </row>
    <row r="127" ht="15.75" customHeight="1">
      <c r="D127" s="18"/>
      <c r="E127" s="18"/>
      <c r="K127" s="18"/>
    </row>
    <row r="128" ht="15.75" customHeight="1">
      <c r="D128" s="18"/>
      <c r="E128" s="18"/>
      <c r="K128" s="18"/>
    </row>
    <row r="129" ht="15.75" customHeight="1">
      <c r="D129" s="18"/>
      <c r="E129" s="18"/>
      <c r="K129" s="18"/>
    </row>
    <row r="130" ht="15.75" customHeight="1">
      <c r="D130" s="18"/>
      <c r="E130" s="18"/>
      <c r="K130" s="18"/>
    </row>
    <row r="131" ht="15.75" customHeight="1">
      <c r="D131" s="18"/>
      <c r="E131" s="18"/>
      <c r="K131" s="18"/>
    </row>
    <row r="132" ht="15.75" customHeight="1">
      <c r="D132" s="18"/>
      <c r="E132" s="18"/>
      <c r="K132" s="18"/>
    </row>
    <row r="133" ht="15.75" customHeight="1">
      <c r="D133" s="18"/>
      <c r="E133" s="18"/>
      <c r="K133" s="18"/>
    </row>
    <row r="134" ht="15.75" customHeight="1">
      <c r="D134" s="18"/>
      <c r="E134" s="18"/>
      <c r="K134" s="18"/>
    </row>
    <row r="135" ht="15.75" customHeight="1">
      <c r="D135" s="18"/>
      <c r="E135" s="18"/>
      <c r="K135" s="18"/>
    </row>
    <row r="136" ht="15.75" customHeight="1">
      <c r="D136" s="18"/>
      <c r="E136" s="18"/>
      <c r="K136" s="18"/>
    </row>
    <row r="137" ht="15.75" customHeight="1">
      <c r="D137" s="18"/>
      <c r="E137" s="18"/>
      <c r="K137" s="18"/>
    </row>
    <row r="138" ht="15.75" customHeight="1">
      <c r="D138" s="18"/>
      <c r="E138" s="18"/>
      <c r="K138" s="18"/>
    </row>
    <row r="139" ht="15.75" customHeight="1">
      <c r="D139" s="18"/>
      <c r="E139" s="18"/>
      <c r="K139" s="18"/>
    </row>
    <row r="140" ht="15.75" customHeight="1">
      <c r="D140" s="18"/>
      <c r="E140" s="18"/>
      <c r="K140" s="18"/>
    </row>
    <row r="141" ht="15.75" customHeight="1">
      <c r="D141" s="18"/>
      <c r="E141" s="18"/>
      <c r="K141" s="18"/>
    </row>
    <row r="142" ht="15.75" customHeight="1">
      <c r="D142" s="18"/>
      <c r="E142" s="18"/>
      <c r="K142" s="18"/>
    </row>
    <row r="143" ht="15.75" customHeight="1">
      <c r="D143" s="18"/>
      <c r="E143" s="18"/>
      <c r="K143" s="18"/>
    </row>
    <row r="144" ht="15.75" customHeight="1">
      <c r="D144" s="18"/>
      <c r="E144" s="18"/>
      <c r="K144" s="18"/>
    </row>
    <row r="145" ht="15.75" customHeight="1">
      <c r="D145" s="18"/>
      <c r="E145" s="18"/>
      <c r="K145" s="18"/>
    </row>
    <row r="146" ht="15.75" customHeight="1">
      <c r="D146" s="18"/>
      <c r="E146" s="18"/>
      <c r="K146" s="18"/>
    </row>
    <row r="147" ht="15.75" customHeight="1">
      <c r="D147" s="18"/>
      <c r="E147" s="18"/>
      <c r="K147" s="18"/>
    </row>
    <row r="148" ht="15.75" customHeight="1">
      <c r="D148" s="18"/>
      <c r="E148" s="18"/>
      <c r="K148" s="18"/>
    </row>
    <row r="149" ht="15.75" customHeight="1">
      <c r="D149" s="18"/>
      <c r="E149" s="18"/>
      <c r="K149" s="18"/>
    </row>
    <row r="150" ht="15.75" customHeight="1">
      <c r="D150" s="18"/>
      <c r="E150" s="18"/>
      <c r="K150" s="18"/>
    </row>
    <row r="151" ht="15.75" customHeight="1">
      <c r="D151" s="18"/>
      <c r="E151" s="18"/>
      <c r="K151" s="18"/>
    </row>
    <row r="152" ht="15.75" customHeight="1">
      <c r="D152" s="18"/>
      <c r="E152" s="18"/>
      <c r="K152" s="18"/>
    </row>
    <row r="153" ht="15.75" customHeight="1">
      <c r="D153" s="18"/>
      <c r="E153" s="18"/>
      <c r="K153" s="18"/>
    </row>
    <row r="154" ht="15.75" customHeight="1">
      <c r="D154" s="18"/>
      <c r="E154" s="18"/>
      <c r="K154" s="18"/>
    </row>
    <row r="155" ht="15.75" customHeight="1">
      <c r="D155" s="18"/>
      <c r="E155" s="18"/>
      <c r="K155" s="18"/>
    </row>
    <row r="156" ht="15.75" customHeight="1">
      <c r="D156" s="18"/>
      <c r="E156" s="18"/>
      <c r="K156" s="18"/>
    </row>
    <row r="157" ht="15.75" customHeight="1">
      <c r="D157" s="18"/>
      <c r="E157" s="18"/>
      <c r="K157" s="18"/>
    </row>
    <row r="158" ht="15.75" customHeight="1">
      <c r="D158" s="18"/>
      <c r="E158" s="18"/>
      <c r="K158" s="18"/>
    </row>
    <row r="159" ht="15.75" customHeight="1">
      <c r="D159" s="18"/>
      <c r="E159" s="18"/>
      <c r="K159" s="18"/>
    </row>
    <row r="160" ht="15.75" customHeight="1">
      <c r="D160" s="18"/>
      <c r="E160" s="18"/>
      <c r="K160" s="18"/>
    </row>
    <row r="161" ht="15.75" customHeight="1">
      <c r="D161" s="18"/>
      <c r="E161" s="18"/>
      <c r="K161" s="18"/>
    </row>
    <row r="162" ht="15.75" customHeight="1">
      <c r="D162" s="18"/>
      <c r="E162" s="18"/>
      <c r="K162" s="18"/>
    </row>
    <row r="163" ht="15.75" customHeight="1">
      <c r="D163" s="18"/>
      <c r="E163" s="18"/>
      <c r="K163" s="18"/>
    </row>
    <row r="164" ht="15.75" customHeight="1">
      <c r="D164" s="18"/>
      <c r="E164" s="18"/>
      <c r="K164" s="18"/>
    </row>
    <row r="165" ht="15.75" customHeight="1">
      <c r="D165" s="18"/>
      <c r="E165" s="18"/>
      <c r="K165" s="18"/>
    </row>
    <row r="166" ht="15.75" customHeight="1">
      <c r="D166" s="18"/>
      <c r="E166" s="18"/>
      <c r="K166" s="18"/>
    </row>
    <row r="167" ht="15.75" customHeight="1">
      <c r="D167" s="18"/>
      <c r="E167" s="18"/>
      <c r="K167" s="18"/>
    </row>
    <row r="168" ht="15.75" customHeight="1">
      <c r="D168" s="18"/>
      <c r="E168" s="18"/>
      <c r="K168" s="18"/>
    </row>
    <row r="169" ht="15.75" customHeight="1">
      <c r="D169" s="18"/>
      <c r="E169" s="18"/>
      <c r="K169" s="18"/>
    </row>
    <row r="170" ht="15.75" customHeight="1">
      <c r="D170" s="18"/>
      <c r="E170" s="18"/>
      <c r="K170" s="18"/>
    </row>
    <row r="171" ht="15.75" customHeight="1">
      <c r="D171" s="18"/>
      <c r="E171" s="18"/>
      <c r="K171" s="18"/>
    </row>
    <row r="172" ht="15.75" customHeight="1">
      <c r="D172" s="18"/>
      <c r="E172" s="18"/>
      <c r="K172" s="18"/>
    </row>
    <row r="173" ht="15.75" customHeight="1">
      <c r="D173" s="18"/>
      <c r="E173" s="18"/>
      <c r="K173" s="18"/>
    </row>
    <row r="174" ht="15.75" customHeight="1">
      <c r="D174" s="18"/>
      <c r="E174" s="18"/>
      <c r="K174" s="18"/>
    </row>
    <row r="175" ht="15.75" customHeight="1">
      <c r="D175" s="18"/>
      <c r="E175" s="18"/>
      <c r="K175" s="18"/>
    </row>
    <row r="176" ht="15.75" customHeight="1">
      <c r="D176" s="18"/>
      <c r="E176" s="18"/>
      <c r="K176" s="18"/>
    </row>
    <row r="177" ht="15.75" customHeight="1">
      <c r="D177" s="18"/>
      <c r="E177" s="18"/>
      <c r="K177" s="18"/>
    </row>
    <row r="178" ht="15.75" customHeight="1">
      <c r="D178" s="18"/>
      <c r="E178" s="18"/>
      <c r="K178" s="18"/>
    </row>
    <row r="179" ht="15.75" customHeight="1">
      <c r="D179" s="18"/>
      <c r="E179" s="18"/>
      <c r="K179" s="18"/>
    </row>
    <row r="180" ht="15.75" customHeight="1">
      <c r="D180" s="18"/>
      <c r="E180" s="18"/>
      <c r="K180" s="18"/>
    </row>
    <row r="181" ht="15.75" customHeight="1">
      <c r="D181" s="18"/>
      <c r="E181" s="18"/>
      <c r="K181" s="18"/>
    </row>
    <row r="182" ht="15.75" customHeight="1">
      <c r="D182" s="18"/>
      <c r="E182" s="18"/>
      <c r="K182" s="18"/>
    </row>
    <row r="183" ht="15.75" customHeight="1">
      <c r="D183" s="18"/>
      <c r="E183" s="18"/>
      <c r="K183" s="18"/>
    </row>
    <row r="184" ht="15.75" customHeight="1">
      <c r="D184" s="18"/>
      <c r="E184" s="18"/>
      <c r="K184" s="18"/>
    </row>
    <row r="185" ht="15.75" customHeight="1">
      <c r="D185" s="18"/>
      <c r="E185" s="18"/>
      <c r="K185" s="18"/>
    </row>
    <row r="186" ht="15.75" customHeight="1">
      <c r="D186" s="18"/>
      <c r="E186" s="18"/>
      <c r="K186" s="18"/>
    </row>
    <row r="187" ht="15.75" customHeight="1">
      <c r="D187" s="18"/>
      <c r="E187" s="18"/>
      <c r="K187" s="18"/>
    </row>
    <row r="188" ht="15.75" customHeight="1">
      <c r="D188" s="18"/>
      <c r="E188" s="18"/>
      <c r="K188" s="18"/>
    </row>
    <row r="189" ht="15.75" customHeight="1">
      <c r="D189" s="18"/>
      <c r="E189" s="18"/>
      <c r="K189" s="18"/>
    </row>
    <row r="190" ht="15.75" customHeight="1">
      <c r="D190" s="18"/>
      <c r="E190" s="18"/>
      <c r="K190" s="18"/>
    </row>
    <row r="191" ht="15.75" customHeight="1">
      <c r="D191" s="18"/>
      <c r="E191" s="18"/>
      <c r="K191" s="18"/>
    </row>
    <row r="192" ht="15.75" customHeight="1">
      <c r="D192" s="18"/>
      <c r="E192" s="18"/>
      <c r="K192" s="18"/>
    </row>
    <row r="193" ht="15.75" customHeight="1">
      <c r="D193" s="18"/>
      <c r="E193" s="18"/>
      <c r="K193" s="18"/>
    </row>
    <row r="194" ht="15.75" customHeight="1">
      <c r="D194" s="18"/>
      <c r="E194" s="18"/>
      <c r="K194" s="18"/>
    </row>
    <row r="195" ht="15.75" customHeight="1">
      <c r="D195" s="18"/>
      <c r="E195" s="18"/>
      <c r="K195" s="18"/>
    </row>
    <row r="196" ht="15.75" customHeight="1">
      <c r="D196" s="18"/>
      <c r="E196" s="18"/>
      <c r="K196" s="18"/>
    </row>
    <row r="197" ht="15.75" customHeight="1">
      <c r="D197" s="18"/>
      <c r="E197" s="18"/>
      <c r="K197" s="18"/>
    </row>
    <row r="198" ht="15.75" customHeight="1">
      <c r="D198" s="18"/>
      <c r="E198" s="18"/>
      <c r="K198" s="18"/>
    </row>
    <row r="199" ht="15.75" customHeight="1">
      <c r="D199" s="18"/>
      <c r="E199" s="18"/>
      <c r="K199" s="18"/>
    </row>
    <row r="200" ht="15.75" customHeight="1">
      <c r="D200" s="18"/>
      <c r="E200" s="18"/>
      <c r="K200" s="18"/>
    </row>
    <row r="201" ht="15.75" customHeight="1">
      <c r="D201" s="18"/>
      <c r="E201" s="18"/>
      <c r="K201" s="18"/>
    </row>
    <row r="202" ht="15.75" customHeight="1">
      <c r="D202" s="18"/>
      <c r="E202" s="18"/>
      <c r="K202" s="18"/>
    </row>
    <row r="203" ht="15.75" customHeight="1">
      <c r="D203" s="18"/>
      <c r="E203" s="18"/>
      <c r="K203" s="18"/>
    </row>
    <row r="204" ht="15.75" customHeight="1">
      <c r="D204" s="18"/>
      <c r="E204" s="18"/>
      <c r="K204" s="18"/>
    </row>
    <row r="205" ht="15.75" customHeight="1">
      <c r="D205" s="18"/>
      <c r="E205" s="18"/>
      <c r="K205" s="18"/>
    </row>
    <row r="206" ht="15.75" customHeight="1">
      <c r="D206" s="18"/>
      <c r="E206" s="18"/>
      <c r="K206" s="18"/>
    </row>
    <row r="207" ht="15.75" customHeight="1">
      <c r="D207" s="18"/>
      <c r="E207" s="18"/>
      <c r="K207" s="18"/>
    </row>
    <row r="208" ht="15.75" customHeight="1">
      <c r="D208" s="18"/>
      <c r="E208" s="18"/>
      <c r="K208" s="18"/>
    </row>
    <row r="209" ht="15.75" customHeight="1">
      <c r="D209" s="18"/>
      <c r="E209" s="18"/>
      <c r="K209" s="18"/>
    </row>
    <row r="210" ht="15.75" customHeight="1">
      <c r="D210" s="18"/>
      <c r="E210" s="18"/>
      <c r="K210" s="18"/>
    </row>
    <row r="211" ht="15.75" customHeight="1">
      <c r="D211" s="18"/>
      <c r="E211" s="18"/>
      <c r="K211" s="18"/>
    </row>
    <row r="212" ht="15.75" customHeight="1">
      <c r="D212" s="18"/>
      <c r="E212" s="18"/>
      <c r="K212" s="18"/>
    </row>
    <row r="213" ht="15.75" customHeight="1">
      <c r="D213" s="18"/>
      <c r="E213" s="18"/>
      <c r="K213" s="18"/>
    </row>
    <row r="214" ht="15.75" customHeight="1">
      <c r="D214" s="18"/>
      <c r="E214" s="18"/>
      <c r="K214" s="18"/>
    </row>
    <row r="215" ht="15.75" customHeight="1">
      <c r="D215" s="18"/>
      <c r="E215" s="18"/>
      <c r="K215" s="18"/>
    </row>
    <row r="216" ht="15.75" customHeight="1">
      <c r="D216" s="18"/>
      <c r="E216" s="18"/>
      <c r="K216" s="18"/>
    </row>
    <row r="217" ht="15.75" customHeight="1">
      <c r="D217" s="18"/>
      <c r="E217" s="18"/>
      <c r="K217" s="18"/>
    </row>
    <row r="218" ht="15.75" customHeight="1">
      <c r="D218" s="18"/>
      <c r="E218" s="18"/>
      <c r="K218" s="18"/>
    </row>
    <row r="219" ht="15.75" customHeight="1">
      <c r="D219" s="18"/>
      <c r="E219" s="18"/>
      <c r="K219" s="18"/>
    </row>
    <row r="220" ht="15.75" customHeight="1">
      <c r="D220" s="18"/>
      <c r="E220" s="18"/>
      <c r="K220" s="18"/>
    </row>
    <row r="221" ht="15.75" customHeight="1">
      <c r="D221" s="19"/>
      <c r="E221" s="19"/>
      <c r="K221" s="19"/>
    </row>
    <row r="222" ht="15.75" customHeight="1">
      <c r="D222" s="19"/>
      <c r="E222" s="19"/>
      <c r="K222" s="19"/>
    </row>
    <row r="223" ht="15.75" customHeight="1">
      <c r="D223" s="19"/>
      <c r="E223" s="19"/>
      <c r="K223" s="19"/>
    </row>
    <row r="224" ht="15.75" customHeight="1">
      <c r="D224" s="19"/>
      <c r="E224" s="19"/>
      <c r="K224" s="19"/>
    </row>
    <row r="225" ht="15.75" customHeight="1">
      <c r="D225" s="19"/>
      <c r="E225" s="19"/>
      <c r="K225" s="19"/>
    </row>
    <row r="226" ht="15.75" customHeight="1">
      <c r="D226" s="19"/>
      <c r="E226" s="19"/>
      <c r="K226" s="19"/>
    </row>
    <row r="227" ht="15.75" customHeight="1">
      <c r="D227" s="19"/>
      <c r="E227" s="19"/>
      <c r="K227" s="19"/>
    </row>
    <row r="228" ht="15.75" customHeight="1">
      <c r="D228" s="19"/>
      <c r="E228" s="19"/>
      <c r="K228" s="19"/>
    </row>
    <row r="229" ht="15.75" customHeight="1">
      <c r="D229" s="19"/>
      <c r="E229" s="19"/>
      <c r="K229" s="19"/>
    </row>
    <row r="230" ht="15.75" customHeight="1">
      <c r="D230" s="19"/>
      <c r="E230" s="19"/>
      <c r="K230" s="19"/>
    </row>
    <row r="231" ht="15.75" customHeight="1">
      <c r="D231" s="19"/>
      <c r="E231" s="19"/>
      <c r="K231" s="19"/>
    </row>
    <row r="232" ht="15.75" customHeight="1">
      <c r="D232" s="19"/>
      <c r="E232" s="19"/>
      <c r="K232" s="19"/>
    </row>
    <row r="233" ht="15.75" customHeight="1">
      <c r="D233" s="19"/>
      <c r="E233" s="19"/>
      <c r="K233" s="19"/>
    </row>
    <row r="234" ht="15.75" customHeight="1">
      <c r="D234" s="19"/>
      <c r="E234" s="19"/>
      <c r="K234" s="19"/>
    </row>
    <row r="235" ht="15.75" customHeight="1">
      <c r="D235" s="19"/>
      <c r="E235" s="19"/>
      <c r="K235" s="19"/>
    </row>
    <row r="236" ht="15.75" customHeight="1">
      <c r="D236" s="19"/>
      <c r="E236" s="19"/>
      <c r="K236" s="19"/>
    </row>
    <row r="237" ht="15.75" customHeight="1">
      <c r="D237" s="19"/>
      <c r="E237" s="19"/>
      <c r="K237" s="19"/>
    </row>
    <row r="238" ht="15.75" customHeight="1">
      <c r="D238" s="19"/>
      <c r="E238" s="19"/>
      <c r="K238" s="19"/>
    </row>
    <row r="239" ht="15.75" customHeight="1">
      <c r="D239" s="19"/>
      <c r="E239" s="19"/>
      <c r="K239" s="19"/>
    </row>
    <row r="240" ht="15.75" customHeight="1">
      <c r="D240" s="19"/>
      <c r="E240" s="19"/>
      <c r="K240" s="19"/>
    </row>
    <row r="241" ht="15.75" customHeight="1">
      <c r="D241" s="19"/>
      <c r="E241" s="19"/>
      <c r="K241" s="19"/>
    </row>
    <row r="242" ht="15.75" customHeight="1">
      <c r="D242" s="19"/>
      <c r="E242" s="19"/>
      <c r="K242" s="19"/>
    </row>
    <row r="243" ht="15.75" customHeight="1">
      <c r="D243" s="19"/>
      <c r="E243" s="19"/>
      <c r="K243" s="19"/>
    </row>
    <row r="244" ht="15.75" customHeight="1">
      <c r="D244" s="19"/>
      <c r="E244" s="19"/>
      <c r="K244" s="19"/>
    </row>
    <row r="245" ht="15.75" customHeight="1">
      <c r="D245" s="19"/>
      <c r="E245" s="19"/>
      <c r="K245" s="19"/>
    </row>
    <row r="246" ht="15.75" customHeight="1">
      <c r="D246" s="19"/>
      <c r="E246" s="19"/>
      <c r="K246" s="19"/>
    </row>
    <row r="247" ht="15.75" customHeight="1">
      <c r="D247" s="19"/>
      <c r="E247" s="19"/>
      <c r="K247" s="19"/>
    </row>
    <row r="248" ht="15.75" customHeight="1">
      <c r="D248" s="19"/>
      <c r="E248" s="19"/>
      <c r="K248" s="19"/>
    </row>
    <row r="249" ht="15.75" customHeight="1">
      <c r="D249" s="19"/>
      <c r="E249" s="19"/>
      <c r="K249" s="19"/>
    </row>
    <row r="250" ht="15.75" customHeight="1">
      <c r="D250" s="19"/>
      <c r="E250" s="19"/>
      <c r="K250" s="19"/>
    </row>
    <row r="251" ht="15.75" customHeight="1">
      <c r="D251" s="19"/>
      <c r="E251" s="19"/>
      <c r="K251" s="19"/>
    </row>
    <row r="252" ht="15.75" customHeight="1">
      <c r="D252" s="19"/>
      <c r="E252" s="19"/>
      <c r="K252" s="19"/>
    </row>
    <row r="253" ht="15.75" customHeight="1">
      <c r="D253" s="19"/>
      <c r="E253" s="19"/>
      <c r="K253" s="19"/>
    </row>
    <row r="254" ht="15.75" customHeight="1">
      <c r="D254" s="19"/>
      <c r="E254" s="19"/>
      <c r="K254" s="19"/>
    </row>
    <row r="255" ht="15.75" customHeight="1">
      <c r="D255" s="19"/>
      <c r="E255" s="19"/>
      <c r="K255" s="19"/>
    </row>
    <row r="256" ht="15.75" customHeight="1">
      <c r="D256" s="19"/>
      <c r="E256" s="19"/>
      <c r="K256" s="19"/>
    </row>
    <row r="257" ht="15.75" customHeight="1">
      <c r="D257" s="19"/>
      <c r="E257" s="19"/>
      <c r="K257" s="19"/>
    </row>
    <row r="258" ht="15.75" customHeight="1">
      <c r="D258" s="19"/>
      <c r="E258" s="19"/>
      <c r="K258" s="19"/>
    </row>
    <row r="259" ht="15.75" customHeight="1">
      <c r="D259" s="19"/>
      <c r="E259" s="19"/>
      <c r="K259" s="19"/>
    </row>
    <row r="260" ht="15.75" customHeight="1">
      <c r="D260" s="19"/>
      <c r="E260" s="19"/>
      <c r="K260" s="19"/>
    </row>
    <row r="261" ht="15.75" customHeight="1">
      <c r="D261" s="19"/>
      <c r="E261" s="19"/>
      <c r="K261" s="19"/>
    </row>
    <row r="262" ht="15.75" customHeight="1">
      <c r="D262" s="19"/>
      <c r="E262" s="19"/>
      <c r="K262" s="19"/>
    </row>
    <row r="263" ht="15.75" customHeight="1">
      <c r="D263" s="19"/>
      <c r="E263" s="19"/>
      <c r="K263" s="19"/>
    </row>
    <row r="264" ht="15.75" customHeight="1">
      <c r="D264" s="19"/>
      <c r="E264" s="19"/>
      <c r="K264" s="19"/>
    </row>
    <row r="265" ht="15.75" customHeight="1">
      <c r="D265" s="19"/>
      <c r="E265" s="19"/>
      <c r="K265" s="19"/>
    </row>
    <row r="266" ht="15.75" customHeight="1">
      <c r="D266" s="19"/>
      <c r="E266" s="19"/>
      <c r="K266" s="19"/>
    </row>
    <row r="267" ht="15.75" customHeight="1">
      <c r="D267" s="19"/>
      <c r="E267" s="19"/>
      <c r="K267" s="19"/>
    </row>
    <row r="268" ht="15.75" customHeight="1">
      <c r="D268" s="19"/>
      <c r="E268" s="19"/>
      <c r="K268" s="19"/>
    </row>
    <row r="269" ht="15.75" customHeight="1">
      <c r="D269" s="19"/>
      <c r="E269" s="19"/>
      <c r="K269" s="19"/>
    </row>
    <row r="270" ht="15.75" customHeight="1">
      <c r="D270" s="19"/>
      <c r="E270" s="19"/>
      <c r="K270" s="19"/>
    </row>
    <row r="271" ht="15.75" customHeight="1">
      <c r="D271" s="19"/>
      <c r="E271" s="19"/>
      <c r="K271" s="19"/>
    </row>
    <row r="272" ht="15.75" customHeight="1">
      <c r="D272" s="19"/>
      <c r="E272" s="19"/>
      <c r="K272" s="19"/>
    </row>
    <row r="273" ht="15.75" customHeight="1">
      <c r="D273" s="19"/>
      <c r="E273" s="19"/>
      <c r="K273" s="19"/>
    </row>
    <row r="274" ht="15.75" customHeight="1">
      <c r="D274" s="19"/>
      <c r="E274" s="19"/>
      <c r="K274" s="19"/>
    </row>
    <row r="275" ht="15.75" customHeight="1">
      <c r="D275" s="19"/>
      <c r="E275" s="19"/>
      <c r="K275" s="19"/>
    </row>
    <row r="276" ht="15.75" customHeight="1">
      <c r="D276" s="19"/>
      <c r="E276" s="19"/>
      <c r="K276" s="19"/>
    </row>
    <row r="277" ht="15.75" customHeight="1">
      <c r="D277" s="19"/>
      <c r="E277" s="19"/>
      <c r="K277" s="19"/>
    </row>
    <row r="278" ht="15.75" customHeight="1">
      <c r="D278" s="19"/>
      <c r="E278" s="19"/>
      <c r="K278" s="19"/>
    </row>
    <row r="279" ht="15.75" customHeight="1">
      <c r="D279" s="19"/>
      <c r="E279" s="19"/>
      <c r="K279" s="19"/>
    </row>
    <row r="280" ht="15.75" customHeight="1">
      <c r="D280" s="19"/>
      <c r="E280" s="19"/>
      <c r="K280" s="19"/>
    </row>
    <row r="281" ht="15.75" customHeight="1">
      <c r="D281" s="19"/>
      <c r="E281" s="19"/>
      <c r="K281" s="19"/>
    </row>
    <row r="282" ht="15.75" customHeight="1">
      <c r="D282" s="19"/>
      <c r="E282" s="19"/>
      <c r="K282" s="19"/>
    </row>
    <row r="283" ht="15.75" customHeight="1">
      <c r="D283" s="19"/>
      <c r="E283" s="19"/>
      <c r="K283" s="19"/>
    </row>
    <row r="284" ht="15.75" customHeight="1">
      <c r="D284" s="19"/>
      <c r="E284" s="19"/>
      <c r="K284" s="19"/>
    </row>
    <row r="285" ht="15.75" customHeight="1">
      <c r="D285" s="19"/>
      <c r="E285" s="19"/>
      <c r="K285" s="19"/>
    </row>
    <row r="286" ht="15.75" customHeight="1">
      <c r="D286" s="19"/>
      <c r="E286" s="19"/>
      <c r="K286" s="19"/>
    </row>
    <row r="287" ht="15.75" customHeight="1">
      <c r="D287" s="19"/>
      <c r="E287" s="19"/>
      <c r="K287" s="19"/>
    </row>
    <row r="288" ht="15.75" customHeight="1">
      <c r="D288" s="19"/>
      <c r="E288" s="19"/>
      <c r="K288" s="19"/>
    </row>
    <row r="289" ht="15.75" customHeight="1">
      <c r="D289" s="19"/>
      <c r="E289" s="19"/>
      <c r="K289" s="19"/>
    </row>
    <row r="290" ht="15.75" customHeight="1">
      <c r="D290" s="19"/>
      <c r="E290" s="19"/>
      <c r="K290" s="19"/>
    </row>
    <row r="291" ht="15.75" customHeight="1">
      <c r="D291" s="19"/>
      <c r="E291" s="19"/>
      <c r="K291" s="19"/>
    </row>
    <row r="292" ht="15.75" customHeight="1">
      <c r="D292" s="19"/>
      <c r="E292" s="19"/>
      <c r="K292" s="19"/>
    </row>
    <row r="293" ht="15.75" customHeight="1">
      <c r="D293" s="19"/>
      <c r="E293" s="19"/>
      <c r="K293" s="19"/>
    </row>
    <row r="294" ht="15.75" customHeight="1">
      <c r="D294" s="19"/>
      <c r="E294" s="19"/>
      <c r="K294" s="19"/>
    </row>
    <row r="295" ht="15.75" customHeight="1">
      <c r="D295" s="19"/>
      <c r="E295" s="19"/>
      <c r="K295" s="19"/>
    </row>
    <row r="296" ht="15.75" customHeight="1">
      <c r="D296" s="19"/>
      <c r="E296" s="19"/>
      <c r="K296" s="19"/>
    </row>
    <row r="297" ht="15.75" customHeight="1">
      <c r="D297" s="19"/>
      <c r="E297" s="19"/>
      <c r="K297" s="19"/>
    </row>
    <row r="298" ht="15.75" customHeight="1">
      <c r="D298" s="19"/>
      <c r="E298" s="19"/>
      <c r="K298" s="19"/>
    </row>
    <row r="299" ht="15.75" customHeight="1">
      <c r="D299" s="19"/>
      <c r="E299" s="19"/>
      <c r="K299" s="19"/>
    </row>
    <row r="300" ht="15.75" customHeight="1">
      <c r="D300" s="19"/>
      <c r="E300" s="19"/>
      <c r="K300" s="19"/>
    </row>
    <row r="301" ht="15.75" customHeight="1">
      <c r="D301" s="19"/>
      <c r="E301" s="19"/>
      <c r="K301" s="19"/>
    </row>
    <row r="302" ht="15.75" customHeight="1">
      <c r="D302" s="19"/>
      <c r="E302" s="19"/>
      <c r="K302" s="19"/>
    </row>
    <row r="303" ht="15.75" customHeight="1">
      <c r="D303" s="19"/>
      <c r="E303" s="19"/>
      <c r="K303" s="19"/>
    </row>
    <row r="304" ht="15.75" customHeight="1">
      <c r="D304" s="19"/>
      <c r="E304" s="19"/>
      <c r="K304" s="19"/>
    </row>
    <row r="305" ht="15.75" customHeight="1">
      <c r="D305" s="19"/>
      <c r="E305" s="19"/>
      <c r="K305" s="19"/>
    </row>
    <row r="306" ht="15.75" customHeight="1">
      <c r="D306" s="19"/>
      <c r="E306" s="19"/>
      <c r="K306" s="19"/>
    </row>
    <row r="307" ht="15.75" customHeight="1">
      <c r="D307" s="19"/>
      <c r="E307" s="19"/>
      <c r="K307" s="19"/>
    </row>
    <row r="308" ht="15.75" customHeight="1">
      <c r="D308" s="19"/>
      <c r="E308" s="19"/>
      <c r="K308" s="19"/>
    </row>
    <row r="309" ht="15.75" customHeight="1">
      <c r="D309" s="19"/>
      <c r="E309" s="19"/>
      <c r="K309" s="19"/>
    </row>
    <row r="310" ht="15.75" customHeight="1">
      <c r="D310" s="19"/>
      <c r="E310" s="19"/>
      <c r="K310" s="19"/>
    </row>
    <row r="311" ht="15.75" customHeight="1">
      <c r="D311" s="19"/>
      <c r="E311" s="19"/>
      <c r="K311" s="19"/>
    </row>
    <row r="312" ht="15.75" customHeight="1">
      <c r="D312" s="19"/>
      <c r="E312" s="19"/>
      <c r="K312" s="19"/>
    </row>
    <row r="313" ht="15.75" customHeight="1">
      <c r="D313" s="19"/>
      <c r="E313" s="19"/>
      <c r="K313" s="19"/>
    </row>
    <row r="314" ht="15.75" customHeight="1">
      <c r="D314" s="19"/>
      <c r="E314" s="19"/>
      <c r="K314" s="19"/>
    </row>
    <row r="315" ht="15.75" customHeight="1">
      <c r="D315" s="19"/>
      <c r="E315" s="19"/>
      <c r="K315" s="19"/>
    </row>
    <row r="316" ht="15.75" customHeight="1">
      <c r="D316" s="19"/>
      <c r="E316" s="19"/>
      <c r="K316" s="19"/>
    </row>
    <row r="317" ht="15.75" customHeight="1">
      <c r="D317" s="19"/>
      <c r="E317" s="19"/>
      <c r="K317" s="19"/>
    </row>
    <row r="318" ht="15.75" customHeight="1">
      <c r="D318" s="19"/>
      <c r="E318" s="19"/>
      <c r="K318" s="19"/>
    </row>
    <row r="319" ht="15.75" customHeight="1">
      <c r="D319" s="19"/>
      <c r="E319" s="19"/>
      <c r="K319" s="19"/>
    </row>
    <row r="320" ht="15.75" customHeight="1">
      <c r="D320" s="19"/>
      <c r="E320" s="19"/>
      <c r="K320" s="19"/>
    </row>
    <row r="321" ht="15.75" customHeight="1">
      <c r="D321" s="19"/>
      <c r="E321" s="19"/>
      <c r="K321" s="19"/>
    </row>
    <row r="322" ht="15.75" customHeight="1">
      <c r="D322" s="19"/>
      <c r="E322" s="19"/>
      <c r="K322" s="19"/>
    </row>
    <row r="323" ht="15.75" customHeight="1">
      <c r="D323" s="19"/>
      <c r="E323" s="19"/>
      <c r="K323" s="19"/>
    </row>
    <row r="324" ht="15.75" customHeight="1">
      <c r="D324" s="19"/>
      <c r="E324" s="19"/>
      <c r="K324" s="19"/>
    </row>
    <row r="325" ht="15.75" customHeight="1">
      <c r="D325" s="19"/>
      <c r="E325" s="19"/>
      <c r="K325" s="19"/>
    </row>
    <row r="326" ht="15.75" customHeight="1">
      <c r="D326" s="19"/>
      <c r="E326" s="19"/>
      <c r="K326" s="19"/>
    </row>
    <row r="327" ht="15.75" customHeight="1">
      <c r="D327" s="19"/>
      <c r="E327" s="19"/>
      <c r="K327" s="19"/>
    </row>
    <row r="328" ht="15.75" customHeight="1">
      <c r="D328" s="19"/>
      <c r="E328" s="19"/>
      <c r="K328" s="19"/>
    </row>
    <row r="329" ht="15.75" customHeight="1">
      <c r="D329" s="19"/>
      <c r="E329" s="19"/>
      <c r="K329" s="19"/>
    </row>
    <row r="330" ht="15.75" customHeight="1">
      <c r="D330" s="19"/>
      <c r="E330" s="19"/>
      <c r="K330" s="19"/>
    </row>
    <row r="331" ht="15.75" customHeight="1">
      <c r="D331" s="19"/>
      <c r="E331" s="19"/>
      <c r="K331" s="19"/>
    </row>
    <row r="332" ht="15.75" customHeight="1">
      <c r="D332" s="19"/>
      <c r="E332" s="19"/>
      <c r="K332" s="19"/>
    </row>
    <row r="333" ht="15.75" customHeight="1">
      <c r="D333" s="19"/>
      <c r="E333" s="19"/>
      <c r="K333" s="19"/>
    </row>
    <row r="334" ht="15.75" customHeight="1">
      <c r="D334" s="19"/>
      <c r="E334" s="19"/>
      <c r="K334" s="19"/>
    </row>
    <row r="335" ht="15.75" customHeight="1">
      <c r="D335" s="19"/>
      <c r="E335" s="19"/>
      <c r="K335" s="19"/>
    </row>
    <row r="336" ht="15.75" customHeight="1">
      <c r="D336" s="19"/>
      <c r="E336" s="19"/>
      <c r="K336" s="19"/>
    </row>
    <row r="337" ht="15.75" customHeight="1">
      <c r="D337" s="19"/>
      <c r="E337" s="19"/>
      <c r="K337" s="19"/>
    </row>
    <row r="338" ht="15.75" customHeight="1">
      <c r="D338" s="19"/>
      <c r="E338" s="19"/>
      <c r="K338" s="19"/>
    </row>
    <row r="339" ht="15.75" customHeight="1">
      <c r="D339" s="19"/>
      <c r="E339" s="19"/>
      <c r="K339" s="19"/>
    </row>
    <row r="340" ht="15.75" customHeight="1">
      <c r="D340" s="19"/>
      <c r="E340" s="19"/>
      <c r="K340" s="19"/>
    </row>
    <row r="341" ht="15.75" customHeight="1">
      <c r="D341" s="19"/>
      <c r="E341" s="19"/>
      <c r="K341" s="19"/>
    </row>
    <row r="342" ht="15.75" customHeight="1">
      <c r="D342" s="19"/>
      <c r="E342" s="19"/>
      <c r="K342" s="19"/>
    </row>
    <row r="343" ht="15.75" customHeight="1">
      <c r="D343" s="19"/>
      <c r="E343" s="19"/>
      <c r="K343" s="19"/>
    </row>
    <row r="344" ht="15.75" customHeight="1">
      <c r="D344" s="19"/>
      <c r="E344" s="19"/>
      <c r="K344" s="19"/>
    </row>
    <row r="345" ht="15.75" customHeight="1">
      <c r="D345" s="19"/>
      <c r="E345" s="19"/>
      <c r="K345" s="19"/>
    </row>
    <row r="346" ht="15.75" customHeight="1">
      <c r="D346" s="19"/>
      <c r="E346" s="19"/>
      <c r="K346" s="19"/>
    </row>
    <row r="347" ht="15.75" customHeight="1">
      <c r="D347" s="19"/>
      <c r="E347" s="19"/>
      <c r="K347" s="19"/>
    </row>
    <row r="348" ht="15.75" customHeight="1">
      <c r="D348" s="19"/>
      <c r="E348" s="19"/>
      <c r="K348" s="19"/>
    </row>
    <row r="349" ht="15.75" customHeight="1">
      <c r="D349" s="19"/>
      <c r="E349" s="19"/>
      <c r="K349" s="19"/>
    </row>
    <row r="350" ht="15.75" customHeight="1">
      <c r="D350" s="19"/>
      <c r="E350" s="19"/>
      <c r="K350" s="19"/>
    </row>
    <row r="351" ht="15.75" customHeight="1">
      <c r="D351" s="19"/>
      <c r="E351" s="19"/>
      <c r="K351" s="19"/>
    </row>
    <row r="352" ht="15.75" customHeight="1">
      <c r="D352" s="19"/>
      <c r="E352" s="19"/>
      <c r="K352" s="19"/>
    </row>
    <row r="353" ht="15.75" customHeight="1">
      <c r="D353" s="19"/>
      <c r="E353" s="19"/>
      <c r="K353" s="19"/>
    </row>
    <row r="354" ht="15.75" customHeight="1">
      <c r="D354" s="19"/>
      <c r="E354" s="19"/>
      <c r="K354" s="19"/>
    </row>
    <row r="355" ht="15.75" customHeight="1">
      <c r="D355" s="19"/>
      <c r="E355" s="19"/>
      <c r="K355" s="19"/>
    </row>
    <row r="356" ht="15.75" customHeight="1">
      <c r="D356" s="19"/>
      <c r="E356" s="19"/>
      <c r="K356" s="19"/>
    </row>
    <row r="357" ht="15.75" customHeight="1">
      <c r="D357" s="19"/>
      <c r="E357" s="19"/>
      <c r="K357" s="19"/>
    </row>
    <row r="358" ht="15.75" customHeight="1">
      <c r="D358" s="19"/>
      <c r="E358" s="19"/>
      <c r="K358" s="19"/>
    </row>
    <row r="359" ht="15.75" customHeight="1">
      <c r="D359" s="19"/>
      <c r="E359" s="19"/>
      <c r="K359" s="19"/>
    </row>
    <row r="360" ht="15.75" customHeight="1">
      <c r="D360" s="19"/>
      <c r="E360" s="19"/>
      <c r="K360" s="19"/>
    </row>
    <row r="361" ht="15.75" customHeight="1">
      <c r="D361" s="19"/>
      <c r="E361" s="19"/>
      <c r="K361" s="19"/>
    </row>
    <row r="362" ht="15.75" customHeight="1">
      <c r="D362" s="19"/>
      <c r="E362" s="19"/>
      <c r="K362" s="19"/>
    </row>
    <row r="363" ht="15.75" customHeight="1">
      <c r="D363" s="19"/>
      <c r="E363" s="19"/>
      <c r="K363" s="19"/>
    </row>
    <row r="364" ht="15.75" customHeight="1">
      <c r="D364" s="19"/>
      <c r="E364" s="19"/>
      <c r="K364" s="19"/>
    </row>
    <row r="365" ht="15.75" customHeight="1">
      <c r="D365" s="19"/>
      <c r="E365" s="19"/>
      <c r="K365" s="19"/>
    </row>
    <row r="366" ht="15.75" customHeight="1">
      <c r="D366" s="19"/>
      <c r="E366" s="19"/>
      <c r="K366" s="19"/>
    </row>
    <row r="367" ht="15.75" customHeight="1">
      <c r="D367" s="19"/>
      <c r="E367" s="19"/>
      <c r="K367" s="19"/>
    </row>
    <row r="368" ht="15.75" customHeight="1">
      <c r="D368" s="19"/>
      <c r="E368" s="19"/>
      <c r="K368" s="19"/>
    </row>
    <row r="369" ht="15.75" customHeight="1">
      <c r="D369" s="19"/>
      <c r="E369" s="19"/>
      <c r="K369" s="19"/>
    </row>
    <row r="370" ht="15.75" customHeight="1">
      <c r="D370" s="19"/>
      <c r="E370" s="19"/>
      <c r="K370" s="19"/>
    </row>
    <row r="371" ht="15.75" customHeight="1">
      <c r="D371" s="19"/>
      <c r="E371" s="19"/>
      <c r="K371" s="19"/>
    </row>
    <row r="372" ht="15.75" customHeight="1">
      <c r="D372" s="19"/>
      <c r="E372" s="19"/>
      <c r="K372" s="19"/>
    </row>
    <row r="373" ht="15.75" customHeight="1">
      <c r="D373" s="19"/>
      <c r="E373" s="19"/>
      <c r="K373" s="19"/>
    </row>
    <row r="374" ht="15.75" customHeight="1">
      <c r="D374" s="19"/>
      <c r="E374" s="19"/>
      <c r="K374" s="19"/>
    </row>
    <row r="375" ht="15.75" customHeight="1">
      <c r="D375" s="19"/>
      <c r="E375" s="19"/>
      <c r="K375" s="19"/>
    </row>
    <row r="376" ht="15.75" customHeight="1">
      <c r="D376" s="19"/>
      <c r="E376" s="19"/>
      <c r="K376" s="19"/>
    </row>
    <row r="377" ht="15.75" customHeight="1">
      <c r="D377" s="19"/>
      <c r="E377" s="19"/>
      <c r="K377" s="19"/>
    </row>
    <row r="378" ht="15.75" customHeight="1">
      <c r="D378" s="19"/>
      <c r="E378" s="19"/>
      <c r="K378" s="19"/>
    </row>
    <row r="379" ht="15.75" customHeight="1">
      <c r="D379" s="19"/>
      <c r="E379" s="19"/>
      <c r="K379" s="19"/>
    </row>
    <row r="380" ht="15.75" customHeight="1">
      <c r="D380" s="19"/>
      <c r="E380" s="19"/>
      <c r="K380" s="19"/>
    </row>
    <row r="381" ht="15.75" customHeight="1">
      <c r="D381" s="19"/>
      <c r="E381" s="19"/>
      <c r="K381" s="19"/>
    </row>
    <row r="382" ht="15.75" customHeight="1">
      <c r="D382" s="19"/>
      <c r="E382" s="19"/>
      <c r="K382" s="19"/>
    </row>
    <row r="383" ht="15.75" customHeight="1">
      <c r="D383" s="19"/>
      <c r="E383" s="19"/>
      <c r="K383" s="19"/>
    </row>
    <row r="384" ht="15.75" customHeight="1">
      <c r="D384" s="19"/>
      <c r="E384" s="19"/>
      <c r="K384" s="19"/>
    </row>
    <row r="385" ht="15.75" customHeight="1">
      <c r="D385" s="19"/>
      <c r="E385" s="19"/>
      <c r="K385" s="19"/>
    </row>
    <row r="386" ht="15.75" customHeight="1">
      <c r="D386" s="19"/>
      <c r="E386" s="19"/>
      <c r="K386" s="19"/>
    </row>
    <row r="387" ht="15.75" customHeight="1">
      <c r="D387" s="19"/>
      <c r="E387" s="19"/>
      <c r="K387" s="19"/>
    </row>
    <row r="388" ht="15.75" customHeight="1">
      <c r="D388" s="19"/>
      <c r="E388" s="19"/>
      <c r="K388" s="19"/>
    </row>
    <row r="389" ht="15.75" customHeight="1">
      <c r="D389" s="19"/>
      <c r="E389" s="19"/>
      <c r="K389" s="19"/>
    </row>
    <row r="390" ht="15.75" customHeight="1">
      <c r="D390" s="19"/>
      <c r="E390" s="19"/>
      <c r="K390" s="19"/>
    </row>
    <row r="391" ht="15.75" customHeight="1">
      <c r="D391" s="19"/>
      <c r="E391" s="19"/>
      <c r="K391" s="19"/>
    </row>
    <row r="392" ht="15.75" customHeight="1">
      <c r="D392" s="19"/>
      <c r="E392" s="19"/>
      <c r="K392" s="19"/>
    </row>
    <row r="393" ht="15.75" customHeight="1">
      <c r="D393" s="19"/>
      <c r="E393" s="19"/>
      <c r="K393" s="19"/>
    </row>
    <row r="394" ht="15.75" customHeight="1">
      <c r="D394" s="19"/>
      <c r="E394" s="19"/>
      <c r="K394" s="19"/>
    </row>
    <row r="395" ht="15.75" customHeight="1">
      <c r="D395" s="19"/>
      <c r="E395" s="19"/>
      <c r="K395" s="19"/>
    </row>
    <row r="396" ht="15.75" customHeight="1">
      <c r="D396" s="19"/>
      <c r="E396" s="19"/>
      <c r="K396" s="19"/>
    </row>
    <row r="397" ht="15.75" customHeight="1">
      <c r="D397" s="19"/>
      <c r="E397" s="19"/>
      <c r="K397" s="19"/>
    </row>
    <row r="398" ht="15.75" customHeight="1">
      <c r="D398" s="19"/>
      <c r="E398" s="19"/>
      <c r="K398" s="19"/>
    </row>
    <row r="399" ht="15.75" customHeight="1">
      <c r="D399" s="19"/>
      <c r="E399" s="19"/>
      <c r="K399" s="19"/>
    </row>
    <row r="400" ht="15.75" customHeight="1">
      <c r="D400" s="19"/>
      <c r="E400" s="19"/>
      <c r="K400" s="19"/>
    </row>
    <row r="401" ht="15.75" customHeight="1">
      <c r="D401" s="19"/>
      <c r="E401" s="19"/>
      <c r="K401" s="19"/>
    </row>
    <row r="402" ht="15.75" customHeight="1">
      <c r="D402" s="19"/>
      <c r="E402" s="19"/>
      <c r="K402" s="19"/>
    </row>
    <row r="403" ht="15.75" customHeight="1">
      <c r="D403" s="19"/>
      <c r="E403" s="19"/>
      <c r="K403" s="19"/>
    </row>
    <row r="404" ht="15.75" customHeight="1">
      <c r="D404" s="19"/>
      <c r="E404" s="19"/>
      <c r="K404" s="19"/>
    </row>
    <row r="405" ht="15.75" customHeight="1">
      <c r="D405" s="19"/>
      <c r="E405" s="19"/>
      <c r="K405" s="19"/>
    </row>
    <row r="406" ht="15.75" customHeight="1">
      <c r="D406" s="19"/>
      <c r="E406" s="19"/>
      <c r="K406" s="19"/>
    </row>
    <row r="407" ht="15.75" customHeight="1">
      <c r="D407" s="19"/>
      <c r="E407" s="19"/>
      <c r="K407" s="19"/>
    </row>
    <row r="408" ht="15.75" customHeight="1">
      <c r="D408" s="19"/>
      <c r="E408" s="19"/>
      <c r="K408" s="19"/>
    </row>
    <row r="409" ht="15.75" customHeight="1">
      <c r="D409" s="19"/>
      <c r="E409" s="19"/>
      <c r="K409" s="19"/>
    </row>
    <row r="410" ht="15.75" customHeight="1">
      <c r="D410" s="19"/>
      <c r="E410" s="19"/>
      <c r="K410" s="19"/>
    </row>
    <row r="411" ht="15.75" customHeight="1">
      <c r="D411" s="19"/>
      <c r="E411" s="19"/>
      <c r="K411" s="19"/>
    </row>
    <row r="412" ht="15.75" customHeight="1">
      <c r="D412" s="19"/>
      <c r="E412" s="19"/>
      <c r="K412" s="19"/>
    </row>
    <row r="413" ht="15.75" customHeight="1">
      <c r="D413" s="19"/>
      <c r="E413" s="19"/>
      <c r="K413" s="19"/>
    </row>
    <row r="414" ht="15.75" customHeight="1">
      <c r="D414" s="19"/>
      <c r="E414" s="19"/>
      <c r="K414" s="19"/>
    </row>
    <row r="415" ht="15.75" customHeight="1">
      <c r="D415" s="19"/>
      <c r="E415" s="19"/>
      <c r="K415" s="19"/>
    </row>
    <row r="416" ht="15.75" customHeight="1">
      <c r="D416" s="19"/>
      <c r="E416" s="19"/>
      <c r="K416" s="19"/>
    </row>
    <row r="417" ht="15.75" customHeight="1">
      <c r="D417" s="19"/>
      <c r="E417" s="19"/>
      <c r="K417" s="19"/>
    </row>
    <row r="418" ht="15.75" customHeight="1">
      <c r="D418" s="19"/>
      <c r="E418" s="19"/>
      <c r="K418" s="19"/>
    </row>
    <row r="419" ht="15.75" customHeight="1">
      <c r="D419" s="19"/>
      <c r="E419" s="19"/>
      <c r="K419" s="19"/>
    </row>
    <row r="420" ht="15.75" customHeight="1">
      <c r="D420" s="19"/>
      <c r="E420" s="19"/>
      <c r="K420" s="19"/>
    </row>
    <row r="421" ht="15.75" customHeight="1">
      <c r="D421" s="19"/>
      <c r="E421" s="19"/>
      <c r="K421" s="19"/>
    </row>
    <row r="422" ht="15.75" customHeight="1">
      <c r="D422" s="19"/>
      <c r="E422" s="19"/>
      <c r="K422" s="19"/>
    </row>
    <row r="423" ht="15.75" customHeight="1">
      <c r="D423" s="19"/>
      <c r="E423" s="19"/>
      <c r="K423" s="19"/>
    </row>
    <row r="424" ht="15.75" customHeight="1">
      <c r="D424" s="19"/>
      <c r="E424" s="19"/>
      <c r="K424" s="19"/>
    </row>
    <row r="425" ht="15.75" customHeight="1">
      <c r="D425" s="19"/>
      <c r="E425" s="19"/>
      <c r="K425" s="19"/>
    </row>
    <row r="426" ht="15.75" customHeight="1">
      <c r="D426" s="19"/>
      <c r="E426" s="19"/>
      <c r="K426" s="19"/>
    </row>
    <row r="427" ht="15.75" customHeight="1">
      <c r="D427" s="19"/>
      <c r="E427" s="19"/>
      <c r="K427" s="19"/>
    </row>
    <row r="428" ht="15.75" customHeight="1">
      <c r="D428" s="19"/>
      <c r="E428" s="19"/>
      <c r="K428" s="19"/>
    </row>
    <row r="429" ht="15.75" customHeight="1">
      <c r="D429" s="19"/>
      <c r="E429" s="19"/>
      <c r="K429" s="19"/>
    </row>
    <row r="430" ht="15.75" customHeight="1">
      <c r="D430" s="19"/>
      <c r="E430" s="19"/>
      <c r="K430" s="19"/>
    </row>
    <row r="431" ht="15.75" customHeight="1">
      <c r="D431" s="19"/>
      <c r="E431" s="19"/>
      <c r="K431" s="19"/>
    </row>
    <row r="432" ht="15.75" customHeight="1">
      <c r="D432" s="19"/>
      <c r="E432" s="19"/>
      <c r="K432" s="19"/>
    </row>
    <row r="433" ht="15.75" customHeight="1">
      <c r="D433" s="19"/>
      <c r="E433" s="19"/>
      <c r="K433" s="19"/>
    </row>
    <row r="434" ht="15.75" customHeight="1">
      <c r="D434" s="19"/>
      <c r="E434" s="19"/>
      <c r="K434" s="19"/>
    </row>
    <row r="435" ht="15.75" customHeight="1">
      <c r="D435" s="19"/>
      <c r="E435" s="19"/>
      <c r="K435" s="19"/>
    </row>
    <row r="436" ht="15.75" customHeight="1">
      <c r="D436" s="19"/>
      <c r="E436" s="19"/>
      <c r="K436" s="19"/>
    </row>
    <row r="437" ht="15.75" customHeight="1">
      <c r="D437" s="19"/>
      <c r="E437" s="19"/>
      <c r="K437" s="19"/>
    </row>
    <row r="438" ht="15.75" customHeight="1">
      <c r="D438" s="19"/>
      <c r="E438" s="19"/>
      <c r="K438" s="19"/>
    </row>
    <row r="439" ht="15.75" customHeight="1">
      <c r="D439" s="19"/>
      <c r="E439" s="19"/>
      <c r="K439" s="19"/>
    </row>
    <row r="440" ht="15.75" customHeight="1">
      <c r="D440" s="19"/>
      <c r="E440" s="19"/>
      <c r="K440" s="19"/>
    </row>
    <row r="441" ht="15.75" customHeight="1">
      <c r="D441" s="19"/>
      <c r="E441" s="19"/>
      <c r="K441" s="19"/>
    </row>
    <row r="442" ht="15.75" customHeight="1">
      <c r="D442" s="19"/>
      <c r="E442" s="19"/>
      <c r="K442" s="19"/>
    </row>
    <row r="443" ht="15.75" customHeight="1">
      <c r="D443" s="19"/>
      <c r="E443" s="19"/>
      <c r="K443" s="19"/>
    </row>
    <row r="444" ht="15.75" customHeight="1">
      <c r="D444" s="19"/>
      <c r="E444" s="19"/>
      <c r="K444" s="19"/>
    </row>
    <row r="445" ht="15.75" customHeight="1">
      <c r="D445" s="19"/>
      <c r="E445" s="19"/>
      <c r="K445" s="19"/>
    </row>
    <row r="446" ht="15.75" customHeight="1">
      <c r="D446" s="19"/>
      <c r="E446" s="19"/>
      <c r="K446" s="19"/>
    </row>
    <row r="447" ht="15.75" customHeight="1">
      <c r="D447" s="19"/>
      <c r="E447" s="19"/>
      <c r="K447" s="19"/>
    </row>
    <row r="448" ht="15.75" customHeight="1">
      <c r="D448" s="19"/>
      <c r="E448" s="19"/>
      <c r="K448" s="19"/>
    </row>
    <row r="449" ht="15.75" customHeight="1">
      <c r="D449" s="19"/>
      <c r="E449" s="19"/>
      <c r="K449" s="19"/>
    </row>
    <row r="450" ht="15.75" customHeight="1">
      <c r="D450" s="19"/>
      <c r="E450" s="19"/>
      <c r="K450" s="19"/>
    </row>
    <row r="451" ht="15.75" customHeight="1">
      <c r="D451" s="19"/>
      <c r="E451" s="19"/>
      <c r="K451" s="19"/>
    </row>
    <row r="452" ht="15.75" customHeight="1">
      <c r="D452" s="19"/>
      <c r="E452" s="19"/>
      <c r="K452" s="19"/>
    </row>
    <row r="453" ht="15.75" customHeight="1">
      <c r="D453" s="19"/>
      <c r="E453" s="19"/>
      <c r="K453" s="19"/>
    </row>
    <row r="454" ht="15.75" customHeight="1">
      <c r="D454" s="19"/>
      <c r="E454" s="19"/>
      <c r="K454" s="19"/>
    </row>
    <row r="455" ht="15.75" customHeight="1">
      <c r="D455" s="19"/>
      <c r="E455" s="19"/>
      <c r="K455" s="19"/>
    </row>
    <row r="456" ht="15.75" customHeight="1">
      <c r="D456" s="19"/>
      <c r="E456" s="19"/>
      <c r="K456" s="19"/>
    </row>
    <row r="457" ht="15.75" customHeight="1">
      <c r="D457" s="19"/>
      <c r="E457" s="19"/>
      <c r="K457" s="19"/>
    </row>
    <row r="458" ht="15.75" customHeight="1">
      <c r="D458" s="19"/>
      <c r="E458" s="19"/>
      <c r="K458" s="19"/>
    </row>
    <row r="459" ht="15.75" customHeight="1">
      <c r="D459" s="19"/>
      <c r="E459" s="19"/>
      <c r="K459" s="19"/>
    </row>
    <row r="460" ht="15.75" customHeight="1">
      <c r="D460" s="19"/>
      <c r="E460" s="19"/>
      <c r="K460" s="19"/>
    </row>
    <row r="461" ht="15.75" customHeight="1">
      <c r="D461" s="19"/>
      <c r="E461" s="19"/>
      <c r="K461" s="19"/>
    </row>
    <row r="462" ht="15.75" customHeight="1">
      <c r="D462" s="19"/>
      <c r="E462" s="19"/>
      <c r="K462" s="19"/>
    </row>
    <row r="463" ht="15.75" customHeight="1">
      <c r="D463" s="19"/>
      <c r="E463" s="19"/>
      <c r="K463" s="19"/>
    </row>
    <row r="464" ht="15.75" customHeight="1">
      <c r="D464" s="19"/>
      <c r="E464" s="19"/>
      <c r="K464" s="19"/>
    </row>
    <row r="465" ht="15.75" customHeight="1">
      <c r="D465" s="19"/>
      <c r="E465" s="19"/>
      <c r="K465" s="19"/>
    </row>
    <row r="466" ht="15.75" customHeight="1">
      <c r="D466" s="19"/>
      <c r="E466" s="19"/>
      <c r="K466" s="19"/>
    </row>
    <row r="467" ht="15.75" customHeight="1">
      <c r="D467" s="19"/>
      <c r="E467" s="19"/>
      <c r="K467" s="19"/>
    </row>
    <row r="468" ht="15.75" customHeight="1">
      <c r="D468" s="19"/>
      <c r="E468" s="19"/>
      <c r="K468" s="19"/>
    </row>
    <row r="469" ht="15.75" customHeight="1">
      <c r="D469" s="19"/>
      <c r="E469" s="19"/>
      <c r="K469" s="19"/>
    </row>
    <row r="470" ht="15.75" customHeight="1">
      <c r="D470" s="19"/>
      <c r="E470" s="19"/>
      <c r="K470" s="19"/>
    </row>
    <row r="471" ht="15.75" customHeight="1">
      <c r="D471" s="19"/>
      <c r="E471" s="19"/>
      <c r="K471" s="19"/>
    </row>
    <row r="472" ht="15.75" customHeight="1">
      <c r="D472" s="19"/>
      <c r="E472" s="19"/>
      <c r="K472" s="19"/>
    </row>
    <row r="473" ht="15.75" customHeight="1">
      <c r="D473" s="19"/>
      <c r="E473" s="19"/>
      <c r="K473" s="19"/>
    </row>
    <row r="474" ht="15.75" customHeight="1">
      <c r="D474" s="19"/>
      <c r="E474" s="19"/>
      <c r="K474" s="19"/>
    </row>
    <row r="475" ht="15.75" customHeight="1">
      <c r="D475" s="19"/>
      <c r="E475" s="19"/>
      <c r="K475" s="19"/>
    </row>
    <row r="476" ht="15.75" customHeight="1">
      <c r="D476" s="19"/>
      <c r="E476" s="19"/>
      <c r="K476" s="19"/>
    </row>
    <row r="477" ht="15.75" customHeight="1">
      <c r="D477" s="19"/>
      <c r="E477" s="19"/>
      <c r="K477" s="19"/>
    </row>
    <row r="478" ht="15.75" customHeight="1">
      <c r="D478" s="19"/>
      <c r="E478" s="19"/>
      <c r="K478" s="19"/>
    </row>
    <row r="479" ht="15.75" customHeight="1">
      <c r="D479" s="19"/>
      <c r="E479" s="19"/>
      <c r="K479" s="19"/>
    </row>
    <row r="480" ht="15.75" customHeight="1">
      <c r="D480" s="19"/>
      <c r="E480" s="19"/>
      <c r="K480" s="19"/>
    </row>
    <row r="481" ht="15.75" customHeight="1">
      <c r="D481" s="19"/>
      <c r="E481" s="19"/>
      <c r="K481" s="19"/>
    </row>
    <row r="482" ht="15.75" customHeight="1">
      <c r="D482" s="19"/>
      <c r="E482" s="19"/>
      <c r="K482" s="19"/>
    </row>
    <row r="483" ht="15.75" customHeight="1">
      <c r="D483" s="19"/>
      <c r="E483" s="19"/>
      <c r="K483" s="19"/>
    </row>
    <row r="484" ht="15.75" customHeight="1">
      <c r="D484" s="19"/>
      <c r="E484" s="19"/>
      <c r="K484" s="19"/>
    </row>
    <row r="485" ht="15.75" customHeight="1">
      <c r="D485" s="19"/>
      <c r="E485" s="19"/>
      <c r="K485" s="19"/>
    </row>
    <row r="486" ht="15.75" customHeight="1">
      <c r="D486" s="19"/>
      <c r="E486" s="19"/>
      <c r="K486" s="19"/>
    </row>
    <row r="487" ht="15.75" customHeight="1">
      <c r="D487" s="19"/>
      <c r="E487" s="19"/>
      <c r="K487" s="19"/>
    </row>
    <row r="488" ht="15.75" customHeight="1">
      <c r="D488" s="19"/>
      <c r="E488" s="19"/>
      <c r="K488" s="19"/>
    </row>
    <row r="489" ht="15.75" customHeight="1">
      <c r="D489" s="19"/>
      <c r="E489" s="19"/>
      <c r="K489" s="19"/>
    </row>
    <row r="490" ht="15.75" customHeight="1">
      <c r="D490" s="19"/>
      <c r="E490" s="19"/>
      <c r="K490" s="19"/>
    </row>
    <row r="491" ht="15.75" customHeight="1">
      <c r="D491" s="19"/>
      <c r="E491" s="19"/>
      <c r="K491" s="19"/>
    </row>
    <row r="492" ht="15.75" customHeight="1">
      <c r="D492" s="19"/>
      <c r="E492" s="19"/>
      <c r="K492" s="19"/>
    </row>
    <row r="493" ht="15.75" customHeight="1">
      <c r="D493" s="19"/>
      <c r="E493" s="19"/>
      <c r="K493" s="19"/>
    </row>
    <row r="494" ht="15.75" customHeight="1">
      <c r="D494" s="19"/>
      <c r="E494" s="19"/>
      <c r="K494" s="19"/>
    </row>
    <row r="495" ht="15.75" customHeight="1">
      <c r="D495" s="19"/>
      <c r="E495" s="19"/>
      <c r="K495" s="19"/>
    </row>
    <row r="496" ht="15.75" customHeight="1">
      <c r="D496" s="19"/>
      <c r="E496" s="19"/>
      <c r="K496" s="19"/>
    </row>
    <row r="497" ht="15.75" customHeight="1">
      <c r="D497" s="19"/>
      <c r="E497" s="19"/>
      <c r="K497" s="19"/>
    </row>
    <row r="498" ht="15.75" customHeight="1">
      <c r="D498" s="19"/>
      <c r="E498" s="19"/>
      <c r="K498" s="19"/>
    </row>
    <row r="499" ht="15.75" customHeight="1">
      <c r="D499" s="19"/>
      <c r="E499" s="19"/>
      <c r="K499" s="19"/>
    </row>
    <row r="500" ht="15.75" customHeight="1">
      <c r="D500" s="19"/>
      <c r="E500" s="19"/>
      <c r="K500" s="19"/>
    </row>
    <row r="501" ht="15.75" customHeight="1">
      <c r="D501" s="19"/>
      <c r="E501" s="19"/>
      <c r="K501" s="19"/>
    </row>
    <row r="502" ht="15.75" customHeight="1">
      <c r="D502" s="19"/>
      <c r="E502" s="19"/>
      <c r="K502" s="19"/>
    </row>
    <row r="503" ht="15.75" customHeight="1">
      <c r="D503" s="19"/>
      <c r="E503" s="19"/>
      <c r="K503" s="19"/>
    </row>
    <row r="504" ht="15.75" customHeight="1">
      <c r="D504" s="19"/>
      <c r="E504" s="19"/>
      <c r="K504" s="19"/>
    </row>
    <row r="505" ht="15.75" customHeight="1">
      <c r="D505" s="19"/>
      <c r="E505" s="19"/>
      <c r="K505" s="19"/>
    </row>
    <row r="506" ht="15.75" customHeight="1">
      <c r="D506" s="19"/>
      <c r="E506" s="19"/>
      <c r="K506" s="19"/>
    </row>
    <row r="507" ht="15.75" customHeight="1">
      <c r="D507" s="19"/>
      <c r="E507" s="19"/>
      <c r="K507" s="19"/>
    </row>
    <row r="508" ht="15.75" customHeight="1">
      <c r="D508" s="19"/>
      <c r="E508" s="19"/>
      <c r="K508" s="19"/>
    </row>
    <row r="509" ht="15.75" customHeight="1">
      <c r="D509" s="19"/>
      <c r="E509" s="19"/>
      <c r="K509" s="19"/>
    </row>
    <row r="510" ht="15.75" customHeight="1">
      <c r="D510" s="19"/>
      <c r="E510" s="19"/>
      <c r="K510" s="19"/>
    </row>
    <row r="511" ht="15.75" customHeight="1">
      <c r="D511" s="19"/>
      <c r="E511" s="19"/>
      <c r="K511" s="19"/>
    </row>
    <row r="512" ht="15.75" customHeight="1">
      <c r="D512" s="19"/>
      <c r="E512" s="19"/>
      <c r="K512" s="19"/>
    </row>
    <row r="513" ht="15.75" customHeight="1">
      <c r="D513" s="19"/>
      <c r="E513" s="19"/>
      <c r="K513" s="19"/>
    </row>
    <row r="514" ht="15.75" customHeight="1">
      <c r="D514" s="19"/>
      <c r="E514" s="19"/>
      <c r="K514" s="19"/>
    </row>
    <row r="515" ht="15.75" customHeight="1">
      <c r="D515" s="19"/>
      <c r="E515" s="19"/>
      <c r="K515" s="19"/>
    </row>
    <row r="516" ht="15.75" customHeight="1">
      <c r="D516" s="19"/>
      <c r="E516" s="19"/>
      <c r="K516" s="19"/>
    </row>
    <row r="517" ht="15.75" customHeight="1">
      <c r="D517" s="19"/>
      <c r="E517" s="19"/>
      <c r="K517" s="19"/>
    </row>
    <row r="518" ht="15.75" customHeight="1">
      <c r="D518" s="19"/>
      <c r="E518" s="19"/>
      <c r="K518" s="19"/>
    </row>
    <row r="519" ht="15.75" customHeight="1">
      <c r="D519" s="19"/>
      <c r="E519" s="19"/>
      <c r="K519" s="19"/>
    </row>
    <row r="520" ht="15.75" customHeight="1">
      <c r="D520" s="19"/>
      <c r="E520" s="19"/>
      <c r="K520" s="19"/>
    </row>
    <row r="521" ht="15.75" customHeight="1">
      <c r="D521" s="19"/>
      <c r="E521" s="19"/>
      <c r="K521" s="19"/>
    </row>
    <row r="522" ht="15.75" customHeight="1">
      <c r="D522" s="19"/>
      <c r="E522" s="19"/>
      <c r="K522" s="19"/>
    </row>
    <row r="523" ht="15.75" customHeight="1">
      <c r="D523" s="19"/>
      <c r="E523" s="19"/>
      <c r="K523" s="19"/>
    </row>
    <row r="524" ht="15.75" customHeight="1">
      <c r="D524" s="19"/>
      <c r="E524" s="19"/>
      <c r="K524" s="19"/>
    </row>
    <row r="525" ht="15.75" customHeight="1">
      <c r="D525" s="19"/>
      <c r="E525" s="19"/>
      <c r="K525" s="19"/>
    </row>
    <row r="526" ht="15.75" customHeight="1">
      <c r="D526" s="19"/>
      <c r="E526" s="19"/>
      <c r="K526" s="19"/>
    </row>
    <row r="527" ht="15.75" customHeight="1">
      <c r="D527" s="19"/>
      <c r="E527" s="19"/>
      <c r="K527" s="19"/>
    </row>
    <row r="528" ht="15.75" customHeight="1">
      <c r="D528" s="19"/>
      <c r="E528" s="19"/>
      <c r="K528" s="19"/>
    </row>
    <row r="529" ht="15.75" customHeight="1">
      <c r="D529" s="19"/>
      <c r="E529" s="19"/>
      <c r="K529" s="19"/>
    </row>
    <row r="530" ht="15.75" customHeight="1">
      <c r="D530" s="19"/>
      <c r="E530" s="19"/>
      <c r="K530" s="19"/>
    </row>
    <row r="531" ht="15.75" customHeight="1">
      <c r="D531" s="19"/>
      <c r="E531" s="19"/>
      <c r="K531" s="19"/>
    </row>
    <row r="532" ht="15.75" customHeight="1">
      <c r="D532" s="19"/>
      <c r="E532" s="19"/>
      <c r="K532" s="19"/>
    </row>
    <row r="533" ht="15.75" customHeight="1">
      <c r="D533" s="19"/>
      <c r="E533" s="19"/>
      <c r="K533" s="19"/>
    </row>
    <row r="534" ht="15.75" customHeight="1">
      <c r="D534" s="19"/>
      <c r="E534" s="19"/>
      <c r="K534" s="19"/>
    </row>
    <row r="535" ht="15.75" customHeight="1">
      <c r="D535" s="19"/>
      <c r="E535" s="19"/>
      <c r="K535" s="19"/>
    </row>
    <row r="536" ht="15.75" customHeight="1">
      <c r="D536" s="19"/>
      <c r="E536" s="19"/>
      <c r="K536" s="19"/>
    </row>
    <row r="537" ht="15.75" customHeight="1">
      <c r="D537" s="19"/>
      <c r="E537" s="19"/>
      <c r="K537" s="19"/>
    </row>
    <row r="538" ht="15.75" customHeight="1">
      <c r="D538" s="19"/>
      <c r="E538" s="19"/>
      <c r="K538" s="19"/>
    </row>
    <row r="539" ht="15.75" customHeight="1">
      <c r="D539" s="19"/>
      <c r="E539" s="19"/>
      <c r="K539" s="19"/>
    </row>
    <row r="540" ht="15.75" customHeight="1">
      <c r="D540" s="19"/>
      <c r="E540" s="19"/>
      <c r="K540" s="19"/>
    </row>
    <row r="541" ht="15.75" customHeight="1">
      <c r="D541" s="19"/>
      <c r="E541" s="19"/>
      <c r="K541" s="19"/>
    </row>
    <row r="542" ht="15.75" customHeight="1">
      <c r="D542" s="19"/>
      <c r="E542" s="19"/>
      <c r="K542" s="19"/>
    </row>
    <row r="543" ht="15.75" customHeight="1">
      <c r="D543" s="19"/>
      <c r="E543" s="19"/>
      <c r="K543" s="19"/>
    </row>
    <row r="544" ht="15.75" customHeight="1">
      <c r="D544" s="19"/>
      <c r="E544" s="19"/>
      <c r="K544" s="19"/>
    </row>
    <row r="545" ht="15.75" customHeight="1">
      <c r="D545" s="19"/>
      <c r="E545" s="19"/>
      <c r="K545" s="19"/>
    </row>
    <row r="546" ht="15.75" customHeight="1">
      <c r="D546" s="19"/>
      <c r="E546" s="19"/>
      <c r="K546" s="19"/>
    </row>
    <row r="547" ht="15.75" customHeight="1">
      <c r="D547" s="19"/>
      <c r="E547" s="19"/>
      <c r="K547" s="19"/>
    </row>
    <row r="548" ht="15.75" customHeight="1">
      <c r="D548" s="19"/>
      <c r="E548" s="19"/>
      <c r="K548" s="19"/>
    </row>
    <row r="549" ht="15.75" customHeight="1">
      <c r="D549" s="19"/>
      <c r="E549" s="19"/>
      <c r="K549" s="19"/>
    </row>
    <row r="550" ht="15.75" customHeight="1">
      <c r="D550" s="19"/>
      <c r="E550" s="19"/>
      <c r="K550" s="19"/>
    </row>
    <row r="551" ht="15.75" customHeight="1">
      <c r="D551" s="19"/>
      <c r="E551" s="19"/>
      <c r="K551" s="19"/>
    </row>
    <row r="552" ht="15.75" customHeight="1">
      <c r="D552" s="19"/>
      <c r="E552" s="19"/>
      <c r="K552" s="19"/>
    </row>
    <row r="553" ht="15.75" customHeight="1">
      <c r="D553" s="19"/>
      <c r="E553" s="19"/>
      <c r="K553" s="19"/>
    </row>
    <row r="554" ht="15.75" customHeight="1">
      <c r="D554" s="19"/>
      <c r="E554" s="19"/>
      <c r="K554" s="19"/>
    </row>
    <row r="555" ht="15.75" customHeight="1">
      <c r="D555" s="19"/>
      <c r="E555" s="19"/>
      <c r="K555" s="19"/>
    </row>
    <row r="556" ht="15.75" customHeight="1">
      <c r="D556" s="19"/>
      <c r="E556" s="19"/>
      <c r="K556" s="19"/>
    </row>
    <row r="557" ht="15.75" customHeight="1">
      <c r="D557" s="19"/>
      <c r="E557" s="19"/>
      <c r="K557" s="19"/>
    </row>
    <row r="558" ht="15.75" customHeight="1">
      <c r="D558" s="19"/>
      <c r="E558" s="19"/>
      <c r="K558" s="19"/>
    </row>
    <row r="559" ht="15.75" customHeight="1">
      <c r="D559" s="19"/>
      <c r="E559" s="19"/>
      <c r="K559" s="19"/>
    </row>
    <row r="560" ht="15.75" customHeight="1">
      <c r="D560" s="19"/>
      <c r="E560" s="19"/>
      <c r="K560" s="19"/>
    </row>
    <row r="561" ht="15.75" customHeight="1">
      <c r="D561" s="19"/>
      <c r="E561" s="19"/>
      <c r="K561" s="19"/>
    </row>
    <row r="562" ht="15.75" customHeight="1">
      <c r="D562" s="19"/>
      <c r="E562" s="19"/>
      <c r="K562" s="19"/>
    </row>
    <row r="563" ht="15.75" customHeight="1">
      <c r="D563" s="19"/>
      <c r="E563" s="19"/>
      <c r="K563" s="19"/>
    </row>
    <row r="564" ht="15.75" customHeight="1">
      <c r="D564" s="19"/>
      <c r="E564" s="19"/>
      <c r="K564" s="19"/>
    </row>
    <row r="565" ht="15.75" customHeight="1">
      <c r="D565" s="19"/>
      <c r="E565" s="19"/>
      <c r="K565" s="19"/>
    </row>
    <row r="566" ht="15.75" customHeight="1">
      <c r="D566" s="19"/>
      <c r="E566" s="19"/>
      <c r="K566" s="19"/>
    </row>
    <row r="567" ht="15.75" customHeight="1">
      <c r="D567" s="19"/>
      <c r="E567" s="19"/>
      <c r="K567" s="19"/>
    </row>
    <row r="568" ht="15.75" customHeight="1">
      <c r="D568" s="19"/>
      <c r="E568" s="19"/>
      <c r="K568" s="19"/>
    </row>
    <row r="569" ht="15.75" customHeight="1">
      <c r="D569" s="19"/>
      <c r="E569" s="19"/>
      <c r="K569" s="19"/>
    </row>
    <row r="570" ht="15.75" customHeight="1">
      <c r="D570" s="19"/>
      <c r="E570" s="19"/>
      <c r="K570" s="19"/>
    </row>
    <row r="571" ht="15.75" customHeight="1">
      <c r="D571" s="19"/>
      <c r="E571" s="19"/>
      <c r="K571" s="19"/>
    </row>
    <row r="572" ht="15.75" customHeight="1">
      <c r="D572" s="19"/>
      <c r="E572" s="19"/>
      <c r="K572" s="19"/>
    </row>
    <row r="573" ht="15.75" customHeight="1">
      <c r="D573" s="19"/>
      <c r="E573" s="19"/>
      <c r="K573" s="19"/>
    </row>
    <row r="574" ht="15.75" customHeight="1">
      <c r="D574" s="19"/>
      <c r="E574" s="19"/>
      <c r="K574" s="19"/>
    </row>
    <row r="575" ht="15.75" customHeight="1">
      <c r="D575" s="19"/>
      <c r="E575" s="19"/>
      <c r="K575" s="19"/>
    </row>
    <row r="576" ht="15.75" customHeight="1">
      <c r="D576" s="19"/>
      <c r="E576" s="19"/>
      <c r="K576" s="19"/>
    </row>
    <row r="577" ht="15.75" customHeight="1">
      <c r="D577" s="19"/>
      <c r="E577" s="19"/>
      <c r="K577" s="19"/>
    </row>
    <row r="578" ht="15.75" customHeight="1">
      <c r="D578" s="19"/>
      <c r="E578" s="19"/>
      <c r="K578" s="19"/>
    </row>
    <row r="579" ht="15.75" customHeight="1">
      <c r="D579" s="19"/>
      <c r="E579" s="19"/>
      <c r="K579" s="19"/>
    </row>
    <row r="580" ht="15.75" customHeight="1">
      <c r="D580" s="19"/>
      <c r="E580" s="19"/>
      <c r="K580" s="19"/>
    </row>
    <row r="581" ht="15.75" customHeight="1">
      <c r="D581" s="19"/>
      <c r="E581" s="19"/>
      <c r="K581" s="19"/>
    </row>
    <row r="582" ht="15.75" customHeight="1">
      <c r="D582" s="19"/>
      <c r="E582" s="19"/>
      <c r="K582" s="19"/>
    </row>
    <row r="583" ht="15.75" customHeight="1">
      <c r="D583" s="19"/>
      <c r="E583" s="19"/>
      <c r="K583" s="19"/>
    </row>
    <row r="584" ht="15.75" customHeight="1">
      <c r="D584" s="19"/>
      <c r="E584" s="19"/>
      <c r="K584" s="19"/>
    </row>
    <row r="585" ht="15.75" customHeight="1">
      <c r="D585" s="19"/>
      <c r="E585" s="19"/>
      <c r="K585" s="19"/>
    </row>
    <row r="586" ht="15.75" customHeight="1">
      <c r="D586" s="19"/>
      <c r="E586" s="19"/>
      <c r="K586" s="19"/>
    </row>
    <row r="587" ht="15.75" customHeight="1">
      <c r="D587" s="19"/>
      <c r="E587" s="19"/>
      <c r="K587" s="19"/>
    </row>
    <row r="588" ht="15.75" customHeight="1">
      <c r="D588" s="19"/>
      <c r="E588" s="19"/>
      <c r="K588" s="19"/>
    </row>
    <row r="589" ht="15.75" customHeight="1">
      <c r="D589" s="19"/>
      <c r="E589" s="19"/>
      <c r="K589" s="19"/>
    </row>
    <row r="590" ht="15.75" customHeight="1">
      <c r="D590" s="19"/>
      <c r="E590" s="19"/>
      <c r="K590" s="19"/>
    </row>
    <row r="591" ht="15.75" customHeight="1">
      <c r="D591" s="19"/>
      <c r="E591" s="19"/>
      <c r="K591" s="19"/>
    </row>
    <row r="592" ht="15.75" customHeight="1">
      <c r="D592" s="19"/>
      <c r="E592" s="19"/>
      <c r="K592" s="19"/>
    </row>
    <row r="593" ht="15.75" customHeight="1">
      <c r="D593" s="19"/>
      <c r="E593" s="19"/>
      <c r="K593" s="19"/>
    </row>
    <row r="594" ht="15.75" customHeight="1">
      <c r="D594" s="19"/>
      <c r="E594" s="19"/>
      <c r="K594" s="19"/>
    </row>
    <row r="595" ht="15.75" customHeight="1">
      <c r="D595" s="19"/>
      <c r="E595" s="19"/>
      <c r="K595" s="19"/>
    </row>
    <row r="596" ht="15.75" customHeight="1">
      <c r="D596" s="19"/>
      <c r="E596" s="19"/>
      <c r="K596" s="19"/>
    </row>
    <row r="597" ht="15.75" customHeight="1">
      <c r="D597" s="19"/>
      <c r="E597" s="19"/>
      <c r="K597" s="19"/>
    </row>
    <row r="598" ht="15.75" customHeight="1">
      <c r="D598" s="19"/>
      <c r="E598" s="19"/>
      <c r="K598" s="19"/>
    </row>
    <row r="599" ht="15.75" customHeight="1">
      <c r="D599" s="19"/>
      <c r="E599" s="19"/>
      <c r="K599" s="19"/>
    </row>
    <row r="600" ht="15.75" customHeight="1">
      <c r="D600" s="19"/>
      <c r="E600" s="19"/>
      <c r="K600" s="19"/>
    </row>
    <row r="601" ht="15.75" customHeight="1">
      <c r="D601" s="19"/>
      <c r="E601" s="19"/>
      <c r="K601" s="19"/>
    </row>
    <row r="602" ht="15.75" customHeight="1">
      <c r="D602" s="19"/>
      <c r="E602" s="19"/>
      <c r="K602" s="19"/>
    </row>
    <row r="603" ht="15.75" customHeight="1">
      <c r="D603" s="19"/>
      <c r="E603" s="19"/>
      <c r="K603" s="19"/>
    </row>
    <row r="604" ht="15.75" customHeight="1">
      <c r="D604" s="19"/>
      <c r="E604" s="19"/>
      <c r="K604" s="19"/>
    </row>
    <row r="605" ht="15.75" customHeight="1">
      <c r="D605" s="19"/>
      <c r="E605" s="19"/>
      <c r="K605" s="19"/>
    </row>
    <row r="606" ht="15.75" customHeight="1">
      <c r="D606" s="19"/>
      <c r="E606" s="19"/>
      <c r="K606" s="19"/>
    </row>
    <row r="607" ht="15.75" customHeight="1">
      <c r="D607" s="19"/>
      <c r="E607" s="19"/>
      <c r="K607" s="19"/>
    </row>
    <row r="608" ht="15.75" customHeight="1">
      <c r="D608" s="19"/>
      <c r="E608" s="19"/>
      <c r="K608" s="19"/>
    </row>
    <row r="609" ht="15.75" customHeight="1">
      <c r="D609" s="19"/>
      <c r="E609" s="19"/>
      <c r="K609" s="19"/>
    </row>
    <row r="610" ht="15.75" customHeight="1">
      <c r="D610" s="19"/>
      <c r="E610" s="19"/>
      <c r="K610" s="19"/>
    </row>
    <row r="611" ht="15.75" customHeight="1">
      <c r="D611" s="19"/>
      <c r="E611" s="19"/>
      <c r="K611" s="19"/>
    </row>
    <row r="612" ht="15.75" customHeight="1">
      <c r="D612" s="19"/>
      <c r="E612" s="19"/>
      <c r="K612" s="19"/>
    </row>
    <row r="613" ht="15.75" customHeight="1">
      <c r="D613" s="19"/>
      <c r="E613" s="19"/>
      <c r="K613" s="19"/>
    </row>
    <row r="614" ht="15.75" customHeight="1">
      <c r="D614" s="19"/>
      <c r="E614" s="19"/>
      <c r="K614" s="19"/>
    </row>
    <row r="615" ht="15.75" customHeight="1">
      <c r="D615" s="19"/>
      <c r="E615" s="19"/>
      <c r="K615" s="19"/>
    </row>
    <row r="616" ht="15.75" customHeight="1">
      <c r="D616" s="19"/>
      <c r="E616" s="19"/>
      <c r="K616" s="19"/>
    </row>
    <row r="617" ht="15.75" customHeight="1">
      <c r="D617" s="19"/>
      <c r="E617" s="19"/>
      <c r="K617" s="19"/>
    </row>
    <row r="618" ht="15.75" customHeight="1">
      <c r="D618" s="19"/>
      <c r="E618" s="19"/>
      <c r="K618" s="19"/>
    </row>
    <row r="619" ht="15.75" customHeight="1">
      <c r="D619" s="19"/>
      <c r="E619" s="19"/>
      <c r="K619" s="19"/>
    </row>
    <row r="620" ht="15.75" customHeight="1">
      <c r="D620" s="19"/>
      <c r="E620" s="19"/>
      <c r="K620" s="19"/>
    </row>
    <row r="621" ht="15.75" customHeight="1">
      <c r="D621" s="19"/>
      <c r="E621" s="19"/>
      <c r="K621" s="19"/>
    </row>
    <row r="622" ht="15.75" customHeight="1">
      <c r="D622" s="19"/>
      <c r="E622" s="19"/>
      <c r="K622" s="19"/>
    </row>
    <row r="623" ht="15.75" customHeight="1">
      <c r="D623" s="19"/>
      <c r="E623" s="19"/>
      <c r="K623" s="19"/>
    </row>
    <row r="624" ht="15.75" customHeight="1">
      <c r="D624" s="19"/>
      <c r="E624" s="19"/>
      <c r="K624" s="19"/>
    </row>
    <row r="625" ht="15.75" customHeight="1">
      <c r="D625" s="19"/>
      <c r="E625" s="19"/>
      <c r="K625" s="19"/>
    </row>
    <row r="626" ht="15.75" customHeight="1">
      <c r="D626" s="19"/>
      <c r="E626" s="19"/>
      <c r="K626" s="19"/>
    </row>
    <row r="627" ht="15.75" customHeight="1">
      <c r="D627" s="19"/>
      <c r="E627" s="19"/>
      <c r="K627" s="19"/>
    </row>
    <row r="628" ht="15.75" customHeight="1">
      <c r="D628" s="19"/>
      <c r="E628" s="19"/>
      <c r="K628" s="19"/>
    </row>
    <row r="629" ht="15.75" customHeight="1">
      <c r="D629" s="19"/>
      <c r="E629" s="19"/>
      <c r="K629" s="19"/>
    </row>
    <row r="630" ht="15.75" customHeight="1">
      <c r="D630" s="19"/>
      <c r="E630" s="19"/>
      <c r="K630" s="19"/>
    </row>
    <row r="631" ht="15.75" customHeight="1">
      <c r="D631" s="19"/>
      <c r="E631" s="19"/>
      <c r="K631" s="19"/>
    </row>
    <row r="632" ht="15.75" customHeight="1">
      <c r="D632" s="19"/>
      <c r="E632" s="19"/>
      <c r="K632" s="19"/>
    </row>
    <row r="633" ht="15.75" customHeight="1">
      <c r="D633" s="19"/>
      <c r="E633" s="19"/>
      <c r="K633" s="19"/>
    </row>
    <row r="634" ht="15.75" customHeight="1">
      <c r="D634" s="19"/>
      <c r="E634" s="19"/>
      <c r="K634" s="19"/>
    </row>
    <row r="635" ht="15.75" customHeight="1">
      <c r="D635" s="19"/>
      <c r="E635" s="19"/>
      <c r="K635" s="19"/>
    </row>
    <row r="636" ht="15.75" customHeight="1">
      <c r="D636" s="19"/>
      <c r="E636" s="19"/>
      <c r="K636" s="19"/>
    </row>
    <row r="637" ht="15.75" customHeight="1">
      <c r="D637" s="19"/>
      <c r="E637" s="19"/>
      <c r="K637" s="19"/>
    </row>
    <row r="638" ht="15.75" customHeight="1">
      <c r="D638" s="19"/>
      <c r="E638" s="19"/>
      <c r="K638" s="19"/>
    </row>
    <row r="639" ht="15.75" customHeight="1">
      <c r="D639" s="19"/>
      <c r="E639" s="19"/>
      <c r="K639" s="19"/>
    </row>
    <row r="640" ht="15.75" customHeight="1">
      <c r="D640" s="19"/>
      <c r="E640" s="19"/>
      <c r="K640" s="19"/>
    </row>
    <row r="641" ht="15.75" customHeight="1">
      <c r="D641" s="19"/>
      <c r="E641" s="19"/>
      <c r="K641" s="19"/>
    </row>
    <row r="642" ht="15.75" customHeight="1">
      <c r="D642" s="19"/>
      <c r="E642" s="19"/>
      <c r="K642" s="19"/>
    </row>
    <row r="643" ht="15.75" customHeight="1">
      <c r="D643" s="19"/>
      <c r="E643" s="19"/>
      <c r="K643" s="19"/>
    </row>
    <row r="644" ht="15.75" customHeight="1">
      <c r="D644" s="19"/>
      <c r="E644" s="19"/>
      <c r="K644" s="19"/>
    </row>
    <row r="645" ht="15.75" customHeight="1">
      <c r="D645" s="19"/>
      <c r="E645" s="19"/>
      <c r="K645" s="19"/>
    </row>
    <row r="646" ht="15.75" customHeight="1">
      <c r="D646" s="19"/>
      <c r="E646" s="19"/>
      <c r="K646" s="19"/>
    </row>
    <row r="647" ht="15.75" customHeight="1">
      <c r="D647" s="19"/>
      <c r="E647" s="19"/>
      <c r="K647" s="19"/>
    </row>
    <row r="648" ht="15.75" customHeight="1">
      <c r="D648" s="19"/>
      <c r="E648" s="19"/>
      <c r="K648" s="19"/>
    </row>
    <row r="649" ht="15.75" customHeight="1">
      <c r="D649" s="19"/>
      <c r="E649" s="19"/>
      <c r="K649" s="19"/>
    </row>
    <row r="650" ht="15.75" customHeight="1">
      <c r="D650" s="19"/>
      <c r="E650" s="19"/>
      <c r="K650" s="19"/>
    </row>
    <row r="651" ht="15.75" customHeight="1">
      <c r="D651" s="19"/>
      <c r="E651" s="19"/>
      <c r="K651" s="19"/>
    </row>
    <row r="652" ht="15.75" customHeight="1">
      <c r="D652" s="19"/>
      <c r="E652" s="19"/>
      <c r="K652" s="19"/>
    </row>
    <row r="653" ht="15.75" customHeight="1">
      <c r="D653" s="19"/>
      <c r="E653" s="19"/>
      <c r="K653" s="19"/>
    </row>
    <row r="654" ht="15.75" customHeight="1">
      <c r="D654" s="19"/>
      <c r="E654" s="19"/>
      <c r="K654" s="19"/>
    </row>
    <row r="655" ht="15.75" customHeight="1">
      <c r="D655" s="19"/>
      <c r="E655" s="19"/>
      <c r="K655" s="19"/>
    </row>
    <row r="656" ht="15.75" customHeight="1">
      <c r="D656" s="19"/>
      <c r="E656" s="19"/>
      <c r="K656" s="19"/>
    </row>
    <row r="657" ht="15.75" customHeight="1">
      <c r="D657" s="19"/>
      <c r="E657" s="19"/>
      <c r="K657" s="19"/>
    </row>
    <row r="658" ht="15.75" customHeight="1">
      <c r="D658" s="19"/>
      <c r="E658" s="19"/>
      <c r="K658" s="19"/>
    </row>
    <row r="659" ht="15.75" customHeight="1">
      <c r="D659" s="19"/>
      <c r="E659" s="19"/>
      <c r="K659" s="19"/>
    </row>
    <row r="660" ht="15.75" customHeight="1">
      <c r="D660" s="19"/>
      <c r="E660" s="19"/>
      <c r="K660" s="19"/>
    </row>
    <row r="661" ht="15.75" customHeight="1">
      <c r="D661" s="19"/>
      <c r="E661" s="19"/>
      <c r="K661" s="19"/>
    </row>
    <row r="662" ht="15.75" customHeight="1">
      <c r="D662" s="19"/>
      <c r="E662" s="19"/>
      <c r="K662" s="19"/>
    </row>
    <row r="663" ht="15.75" customHeight="1">
      <c r="D663" s="19"/>
      <c r="E663" s="19"/>
      <c r="K663" s="19"/>
    </row>
    <row r="664" ht="15.75" customHeight="1">
      <c r="D664" s="19"/>
      <c r="E664" s="19"/>
      <c r="K664" s="19"/>
    </row>
    <row r="665" ht="15.75" customHeight="1">
      <c r="D665" s="19"/>
      <c r="E665" s="19"/>
      <c r="K665" s="19"/>
    </row>
    <row r="666" ht="15.75" customHeight="1">
      <c r="D666" s="19"/>
      <c r="E666" s="19"/>
      <c r="K666" s="19"/>
    </row>
    <row r="667" ht="15.75" customHeight="1">
      <c r="D667" s="19"/>
      <c r="E667" s="19"/>
      <c r="K667" s="19"/>
    </row>
    <row r="668" ht="15.75" customHeight="1">
      <c r="D668" s="19"/>
      <c r="E668" s="19"/>
      <c r="K668" s="19"/>
    </row>
    <row r="669" ht="15.75" customHeight="1">
      <c r="D669" s="19"/>
      <c r="E669" s="19"/>
      <c r="K669" s="19"/>
    </row>
    <row r="670" ht="15.75" customHeight="1">
      <c r="D670" s="19"/>
      <c r="E670" s="19"/>
      <c r="K670" s="19"/>
    </row>
    <row r="671" ht="15.75" customHeight="1">
      <c r="D671" s="19"/>
      <c r="E671" s="19"/>
      <c r="K671" s="19"/>
    </row>
    <row r="672" ht="15.75" customHeight="1">
      <c r="D672" s="19"/>
      <c r="E672" s="19"/>
      <c r="K672" s="19"/>
    </row>
    <row r="673" ht="15.75" customHeight="1">
      <c r="D673" s="19"/>
      <c r="E673" s="19"/>
      <c r="K673" s="19"/>
    </row>
    <row r="674" ht="15.75" customHeight="1">
      <c r="D674" s="19"/>
      <c r="E674" s="19"/>
      <c r="K674" s="19"/>
    </row>
    <row r="675" ht="15.75" customHeight="1">
      <c r="D675" s="19"/>
      <c r="E675" s="19"/>
      <c r="K675" s="19"/>
    </row>
    <row r="676" ht="15.75" customHeight="1">
      <c r="D676" s="19"/>
      <c r="E676" s="19"/>
      <c r="K676" s="19"/>
    </row>
    <row r="677" ht="15.75" customHeight="1">
      <c r="D677" s="19"/>
      <c r="E677" s="19"/>
      <c r="K677" s="19"/>
    </row>
    <row r="678" ht="15.75" customHeight="1">
      <c r="D678" s="19"/>
      <c r="E678" s="19"/>
      <c r="K678" s="19"/>
    </row>
    <row r="679" ht="15.75" customHeight="1">
      <c r="D679" s="19"/>
      <c r="E679" s="19"/>
      <c r="K679" s="19"/>
    </row>
    <row r="680" ht="15.75" customHeight="1">
      <c r="D680" s="19"/>
      <c r="E680" s="19"/>
      <c r="K680" s="19"/>
    </row>
    <row r="681" ht="15.75" customHeight="1">
      <c r="D681" s="19"/>
      <c r="E681" s="19"/>
      <c r="K681" s="19"/>
    </row>
    <row r="682" ht="15.75" customHeight="1">
      <c r="D682" s="19"/>
      <c r="E682" s="19"/>
      <c r="K682" s="19"/>
    </row>
    <row r="683" ht="15.75" customHeight="1">
      <c r="D683" s="19"/>
      <c r="E683" s="19"/>
      <c r="K683" s="19"/>
    </row>
    <row r="684" ht="15.75" customHeight="1">
      <c r="D684" s="19"/>
      <c r="E684" s="19"/>
      <c r="K684" s="19"/>
    </row>
    <row r="685" ht="15.75" customHeight="1">
      <c r="D685" s="19"/>
      <c r="E685" s="19"/>
      <c r="K685" s="19"/>
    </row>
    <row r="686" ht="15.75" customHeight="1">
      <c r="D686" s="19"/>
      <c r="E686" s="19"/>
      <c r="K686" s="19"/>
    </row>
    <row r="687" ht="15.75" customHeight="1">
      <c r="D687" s="19"/>
      <c r="E687" s="19"/>
      <c r="K687" s="19"/>
    </row>
    <row r="688" ht="15.75" customHeight="1">
      <c r="D688" s="19"/>
      <c r="E688" s="19"/>
      <c r="K688" s="19"/>
    </row>
    <row r="689" ht="15.75" customHeight="1">
      <c r="D689" s="19"/>
      <c r="E689" s="19"/>
      <c r="K689" s="19"/>
    </row>
    <row r="690" ht="15.75" customHeight="1">
      <c r="D690" s="19"/>
      <c r="E690" s="19"/>
      <c r="K690" s="19"/>
    </row>
    <row r="691" ht="15.75" customHeight="1">
      <c r="D691" s="19"/>
      <c r="E691" s="19"/>
      <c r="K691" s="19"/>
    </row>
    <row r="692" ht="15.75" customHeight="1">
      <c r="D692" s="19"/>
      <c r="E692" s="19"/>
      <c r="K692" s="19"/>
    </row>
    <row r="693" ht="15.75" customHeight="1">
      <c r="D693" s="19"/>
      <c r="E693" s="19"/>
      <c r="K693" s="19"/>
    </row>
    <row r="694" ht="15.75" customHeight="1">
      <c r="D694" s="19"/>
      <c r="E694" s="19"/>
      <c r="K694" s="19"/>
    </row>
    <row r="695" ht="15.75" customHeight="1">
      <c r="D695" s="19"/>
      <c r="E695" s="19"/>
      <c r="K695" s="19"/>
    </row>
    <row r="696" ht="15.75" customHeight="1">
      <c r="D696" s="19"/>
      <c r="E696" s="19"/>
      <c r="K696" s="19"/>
    </row>
    <row r="697" ht="15.75" customHeight="1">
      <c r="D697" s="19"/>
      <c r="E697" s="19"/>
      <c r="K697" s="19"/>
    </row>
    <row r="698" ht="15.75" customHeight="1">
      <c r="D698" s="19"/>
      <c r="E698" s="19"/>
      <c r="K698" s="19"/>
    </row>
    <row r="699" ht="15.75" customHeight="1">
      <c r="D699" s="19"/>
      <c r="E699" s="19"/>
      <c r="K699" s="19"/>
    </row>
    <row r="700" ht="15.75" customHeight="1">
      <c r="D700" s="19"/>
      <c r="E700" s="19"/>
      <c r="K700" s="19"/>
    </row>
    <row r="701" ht="15.75" customHeight="1">
      <c r="D701" s="19"/>
      <c r="E701" s="19"/>
      <c r="K701" s="19"/>
    </row>
    <row r="702" ht="15.75" customHeight="1">
      <c r="D702" s="19"/>
      <c r="E702" s="19"/>
      <c r="K702" s="19"/>
    </row>
    <row r="703" ht="15.75" customHeight="1">
      <c r="D703" s="19"/>
      <c r="E703" s="19"/>
      <c r="K703" s="19"/>
    </row>
    <row r="704" ht="15.75" customHeight="1">
      <c r="D704" s="19"/>
      <c r="E704" s="19"/>
      <c r="K704" s="19"/>
    </row>
    <row r="705" ht="15.75" customHeight="1">
      <c r="D705" s="19"/>
      <c r="E705" s="19"/>
      <c r="K705" s="19"/>
    </row>
    <row r="706" ht="15.75" customHeight="1">
      <c r="D706" s="19"/>
      <c r="E706" s="19"/>
      <c r="K706" s="19"/>
    </row>
    <row r="707" ht="15.75" customHeight="1">
      <c r="D707" s="19"/>
      <c r="E707" s="19"/>
      <c r="K707" s="19"/>
    </row>
    <row r="708" ht="15.75" customHeight="1">
      <c r="D708" s="19"/>
      <c r="E708" s="19"/>
      <c r="K708" s="19"/>
    </row>
    <row r="709" ht="15.75" customHeight="1">
      <c r="D709" s="19"/>
      <c r="E709" s="19"/>
      <c r="K709" s="19"/>
    </row>
    <row r="710" ht="15.75" customHeight="1">
      <c r="D710" s="19"/>
      <c r="E710" s="19"/>
      <c r="K710" s="19"/>
    </row>
    <row r="711" ht="15.75" customHeight="1">
      <c r="D711" s="19"/>
      <c r="E711" s="19"/>
      <c r="K711" s="19"/>
    </row>
    <row r="712" ht="15.75" customHeight="1">
      <c r="D712" s="19"/>
      <c r="E712" s="19"/>
      <c r="K712" s="19"/>
    </row>
    <row r="713" ht="15.75" customHeight="1">
      <c r="D713" s="19"/>
      <c r="E713" s="19"/>
      <c r="K713" s="19"/>
    </row>
    <row r="714" ht="15.75" customHeight="1">
      <c r="D714" s="19"/>
      <c r="E714" s="19"/>
      <c r="K714" s="19"/>
    </row>
    <row r="715" ht="15.75" customHeight="1">
      <c r="D715" s="19"/>
      <c r="E715" s="19"/>
      <c r="K715" s="19"/>
    </row>
    <row r="716" ht="15.75" customHeight="1">
      <c r="D716" s="19"/>
      <c r="E716" s="19"/>
      <c r="K716" s="19"/>
    </row>
    <row r="717" ht="15.75" customHeight="1">
      <c r="D717" s="19"/>
      <c r="E717" s="19"/>
      <c r="K717" s="19"/>
    </row>
    <row r="718" ht="15.75" customHeight="1">
      <c r="D718" s="19"/>
      <c r="E718" s="19"/>
      <c r="K718" s="19"/>
    </row>
    <row r="719" ht="15.75" customHeight="1">
      <c r="D719" s="19"/>
      <c r="E719" s="19"/>
      <c r="K719" s="19"/>
    </row>
    <row r="720" ht="15.75" customHeight="1">
      <c r="D720" s="19"/>
      <c r="E720" s="19"/>
      <c r="K720" s="19"/>
    </row>
    <row r="721" ht="15.75" customHeight="1">
      <c r="D721" s="19"/>
      <c r="E721" s="19"/>
      <c r="K721" s="19"/>
    </row>
    <row r="722" ht="15.75" customHeight="1">
      <c r="D722" s="19"/>
      <c r="E722" s="19"/>
      <c r="K722" s="19"/>
    </row>
    <row r="723" ht="15.75" customHeight="1">
      <c r="D723" s="19"/>
      <c r="E723" s="19"/>
      <c r="K723" s="19"/>
    </row>
    <row r="724" ht="15.75" customHeight="1">
      <c r="D724" s="19"/>
      <c r="E724" s="19"/>
      <c r="K724" s="19"/>
    </row>
    <row r="725" ht="15.75" customHeight="1">
      <c r="D725" s="19"/>
      <c r="E725" s="19"/>
      <c r="K725" s="19"/>
    </row>
    <row r="726" ht="15.75" customHeight="1">
      <c r="D726" s="19"/>
      <c r="E726" s="19"/>
      <c r="K726" s="19"/>
    </row>
    <row r="727" ht="15.75" customHeight="1">
      <c r="D727" s="19"/>
      <c r="E727" s="19"/>
      <c r="K727" s="19"/>
    </row>
    <row r="728" ht="15.75" customHeight="1">
      <c r="D728" s="19"/>
      <c r="E728" s="19"/>
      <c r="K728" s="19"/>
    </row>
    <row r="729" ht="15.75" customHeight="1">
      <c r="D729" s="19"/>
      <c r="E729" s="19"/>
      <c r="K729" s="19"/>
    </row>
    <row r="730" ht="15.75" customHeight="1">
      <c r="D730" s="19"/>
      <c r="E730" s="19"/>
      <c r="K730" s="19"/>
    </row>
    <row r="731" ht="15.75" customHeight="1">
      <c r="D731" s="19"/>
      <c r="E731" s="19"/>
      <c r="K731" s="19"/>
    </row>
    <row r="732" ht="15.75" customHeight="1">
      <c r="D732" s="19"/>
      <c r="E732" s="19"/>
      <c r="K732" s="19"/>
    </row>
    <row r="733" ht="15.75" customHeight="1">
      <c r="D733" s="19"/>
      <c r="E733" s="19"/>
      <c r="K733" s="19"/>
    </row>
    <row r="734" ht="15.75" customHeight="1">
      <c r="D734" s="19"/>
      <c r="E734" s="19"/>
      <c r="K734" s="19"/>
    </row>
    <row r="735" ht="15.75" customHeight="1">
      <c r="D735" s="19"/>
      <c r="E735" s="19"/>
      <c r="K735" s="19"/>
    </row>
    <row r="736" ht="15.75" customHeight="1">
      <c r="D736" s="19"/>
      <c r="E736" s="19"/>
      <c r="K736" s="19"/>
    </row>
    <row r="737" ht="15.75" customHeight="1">
      <c r="D737" s="19"/>
      <c r="E737" s="19"/>
      <c r="K737" s="19"/>
    </row>
    <row r="738" ht="15.75" customHeight="1">
      <c r="D738" s="19"/>
      <c r="E738" s="19"/>
      <c r="K738" s="19"/>
    </row>
    <row r="739" ht="15.75" customHeight="1">
      <c r="D739" s="19"/>
      <c r="E739" s="19"/>
      <c r="K739" s="19"/>
    </row>
    <row r="740" ht="15.75" customHeight="1">
      <c r="D740" s="19"/>
      <c r="E740" s="19"/>
      <c r="K740" s="19"/>
    </row>
    <row r="741" ht="15.75" customHeight="1">
      <c r="D741" s="19"/>
      <c r="E741" s="19"/>
      <c r="K741" s="19"/>
    </row>
    <row r="742" ht="15.75" customHeight="1">
      <c r="D742" s="19"/>
      <c r="E742" s="19"/>
      <c r="K742" s="19"/>
    </row>
    <row r="743" ht="15.75" customHeight="1">
      <c r="D743" s="19"/>
      <c r="E743" s="19"/>
      <c r="K743" s="19"/>
    </row>
    <row r="744" ht="15.75" customHeight="1">
      <c r="D744" s="19"/>
      <c r="E744" s="19"/>
      <c r="K744" s="19"/>
    </row>
    <row r="745" ht="15.75" customHeight="1">
      <c r="D745" s="19"/>
      <c r="E745" s="19"/>
      <c r="K745" s="19"/>
    </row>
    <row r="746" ht="15.75" customHeight="1">
      <c r="D746" s="19"/>
      <c r="E746" s="19"/>
      <c r="K746" s="19"/>
    </row>
    <row r="747" ht="15.75" customHeight="1">
      <c r="D747" s="19"/>
      <c r="E747" s="19"/>
      <c r="K747" s="19"/>
    </row>
    <row r="748" ht="15.75" customHeight="1">
      <c r="D748" s="19"/>
      <c r="E748" s="19"/>
      <c r="K748" s="19"/>
    </row>
    <row r="749" ht="15.75" customHeight="1">
      <c r="D749" s="19"/>
      <c r="E749" s="19"/>
      <c r="K749" s="19"/>
    </row>
    <row r="750" ht="15.75" customHeight="1">
      <c r="D750" s="19"/>
      <c r="E750" s="19"/>
      <c r="K750" s="19"/>
    </row>
    <row r="751" ht="15.75" customHeight="1">
      <c r="D751" s="19"/>
      <c r="E751" s="19"/>
      <c r="K751" s="19"/>
    </row>
    <row r="752" ht="15.75" customHeight="1">
      <c r="D752" s="19"/>
      <c r="E752" s="19"/>
      <c r="K752" s="19"/>
    </row>
    <row r="753" ht="15.75" customHeight="1">
      <c r="D753" s="19"/>
      <c r="E753" s="19"/>
      <c r="K753" s="19"/>
    </row>
    <row r="754" ht="15.75" customHeight="1">
      <c r="D754" s="19"/>
      <c r="E754" s="19"/>
      <c r="K754" s="19"/>
    </row>
    <row r="755" ht="15.75" customHeight="1">
      <c r="D755" s="19"/>
      <c r="E755" s="19"/>
      <c r="K755" s="19"/>
    </row>
    <row r="756" ht="15.75" customHeight="1">
      <c r="D756" s="19"/>
      <c r="E756" s="19"/>
      <c r="K756" s="19"/>
    </row>
    <row r="757" ht="15.75" customHeight="1">
      <c r="D757" s="19"/>
      <c r="E757" s="19"/>
      <c r="K757" s="19"/>
    </row>
    <row r="758" ht="15.75" customHeight="1">
      <c r="D758" s="19"/>
      <c r="E758" s="19"/>
      <c r="K758" s="19"/>
    </row>
    <row r="759" ht="15.75" customHeight="1">
      <c r="D759" s="19"/>
      <c r="E759" s="19"/>
      <c r="K759" s="19"/>
    </row>
    <row r="760" ht="15.75" customHeight="1">
      <c r="D760" s="19"/>
      <c r="E760" s="19"/>
      <c r="K760" s="19"/>
    </row>
    <row r="761" ht="15.75" customHeight="1">
      <c r="D761" s="19"/>
      <c r="E761" s="19"/>
      <c r="K761" s="19"/>
    </row>
    <row r="762" ht="15.75" customHeight="1">
      <c r="D762" s="19"/>
      <c r="E762" s="19"/>
      <c r="K762" s="19"/>
    </row>
    <row r="763" ht="15.75" customHeight="1">
      <c r="D763" s="19"/>
      <c r="E763" s="19"/>
      <c r="K763" s="19"/>
    </row>
    <row r="764" ht="15.75" customHeight="1">
      <c r="D764" s="19"/>
      <c r="E764" s="19"/>
      <c r="K764" s="19"/>
    </row>
    <row r="765" ht="15.75" customHeight="1">
      <c r="D765" s="19"/>
      <c r="E765" s="19"/>
      <c r="K765" s="19"/>
    </row>
    <row r="766" ht="15.75" customHeight="1">
      <c r="D766" s="19"/>
      <c r="E766" s="19"/>
      <c r="K766" s="19"/>
    </row>
    <row r="767" ht="15.75" customHeight="1">
      <c r="D767" s="19"/>
      <c r="E767" s="19"/>
      <c r="K767" s="19"/>
    </row>
    <row r="768" ht="15.75" customHeight="1">
      <c r="D768" s="19"/>
      <c r="E768" s="19"/>
      <c r="K768" s="19"/>
    </row>
    <row r="769" ht="15.75" customHeight="1">
      <c r="D769" s="19"/>
      <c r="E769" s="19"/>
      <c r="K769" s="19"/>
    </row>
    <row r="770" ht="15.75" customHeight="1">
      <c r="D770" s="19"/>
      <c r="E770" s="19"/>
      <c r="K770" s="19"/>
    </row>
    <row r="771" ht="15.75" customHeight="1">
      <c r="D771" s="19"/>
      <c r="E771" s="19"/>
      <c r="K771" s="19"/>
    </row>
    <row r="772" ht="15.75" customHeight="1">
      <c r="D772" s="19"/>
      <c r="E772" s="19"/>
      <c r="K772" s="19"/>
    </row>
    <row r="773" ht="15.75" customHeight="1">
      <c r="D773" s="19"/>
      <c r="E773" s="19"/>
      <c r="K773" s="19"/>
    </row>
    <row r="774" ht="15.75" customHeight="1">
      <c r="D774" s="19"/>
      <c r="E774" s="19"/>
      <c r="K774" s="19"/>
    </row>
    <row r="775" ht="15.75" customHeight="1">
      <c r="D775" s="19"/>
      <c r="E775" s="19"/>
      <c r="K775" s="19"/>
    </row>
    <row r="776" ht="15.75" customHeight="1">
      <c r="D776" s="19"/>
      <c r="E776" s="19"/>
      <c r="K776" s="19"/>
    </row>
    <row r="777" ht="15.75" customHeight="1">
      <c r="D777" s="19"/>
      <c r="E777" s="19"/>
      <c r="K777" s="19"/>
    </row>
    <row r="778" ht="15.75" customHeight="1">
      <c r="D778" s="19"/>
      <c r="E778" s="19"/>
      <c r="K778" s="19"/>
    </row>
    <row r="779" ht="15.75" customHeight="1">
      <c r="D779" s="19"/>
      <c r="E779" s="19"/>
      <c r="K779" s="19"/>
    </row>
    <row r="780" ht="15.75" customHeight="1">
      <c r="D780" s="19"/>
      <c r="E780" s="19"/>
      <c r="K780" s="19"/>
    </row>
    <row r="781" ht="15.75" customHeight="1">
      <c r="D781" s="19"/>
      <c r="E781" s="19"/>
      <c r="K781" s="19"/>
    </row>
    <row r="782" ht="15.75" customHeight="1">
      <c r="D782" s="19"/>
      <c r="E782" s="19"/>
      <c r="K782" s="19"/>
    </row>
    <row r="783" ht="15.75" customHeight="1">
      <c r="D783" s="19"/>
      <c r="E783" s="19"/>
      <c r="K783" s="19"/>
    </row>
    <row r="784" ht="15.75" customHeight="1">
      <c r="D784" s="19"/>
      <c r="E784" s="19"/>
      <c r="K784" s="19"/>
    </row>
    <row r="785" ht="15.75" customHeight="1">
      <c r="D785" s="19"/>
      <c r="E785" s="19"/>
      <c r="K785" s="19"/>
    </row>
    <row r="786" ht="15.75" customHeight="1">
      <c r="D786" s="19"/>
      <c r="E786" s="19"/>
      <c r="K786" s="19"/>
    </row>
    <row r="787" ht="15.75" customHeight="1">
      <c r="D787" s="19"/>
      <c r="E787" s="19"/>
      <c r="K787" s="19"/>
    </row>
    <row r="788" ht="15.75" customHeight="1">
      <c r="D788" s="19"/>
      <c r="E788" s="19"/>
      <c r="K788" s="19"/>
    </row>
    <row r="789" ht="15.75" customHeight="1">
      <c r="D789" s="19"/>
      <c r="E789" s="19"/>
      <c r="K789" s="19"/>
    </row>
    <row r="790" ht="15.75" customHeight="1">
      <c r="D790" s="19"/>
      <c r="E790" s="19"/>
      <c r="K790" s="19"/>
    </row>
    <row r="791" ht="15.75" customHeight="1">
      <c r="D791" s="19"/>
      <c r="E791" s="19"/>
      <c r="K791" s="19"/>
    </row>
    <row r="792" ht="15.75" customHeight="1">
      <c r="D792" s="19"/>
      <c r="E792" s="19"/>
      <c r="K792" s="19"/>
    </row>
    <row r="793" ht="15.75" customHeight="1">
      <c r="D793" s="19"/>
      <c r="E793" s="19"/>
      <c r="K793" s="19"/>
    </row>
    <row r="794" ht="15.75" customHeight="1">
      <c r="D794" s="19"/>
      <c r="E794" s="19"/>
      <c r="K794" s="19"/>
    </row>
    <row r="795" ht="15.75" customHeight="1">
      <c r="D795" s="19"/>
      <c r="E795" s="19"/>
      <c r="K795" s="19"/>
    </row>
    <row r="796" ht="15.75" customHeight="1">
      <c r="D796" s="19"/>
      <c r="E796" s="19"/>
      <c r="K796" s="19"/>
    </row>
    <row r="797" ht="15.75" customHeight="1">
      <c r="D797" s="19"/>
      <c r="E797" s="19"/>
      <c r="K797" s="19"/>
    </row>
    <row r="798" ht="15.75" customHeight="1">
      <c r="D798" s="19"/>
      <c r="E798" s="19"/>
      <c r="K798" s="19"/>
    </row>
    <row r="799" ht="15.75" customHeight="1">
      <c r="D799" s="19"/>
      <c r="E799" s="19"/>
      <c r="K799" s="19"/>
    </row>
    <row r="800" ht="15.75" customHeight="1">
      <c r="D800" s="19"/>
      <c r="E800" s="19"/>
      <c r="K800" s="19"/>
    </row>
    <row r="801" ht="15.75" customHeight="1">
      <c r="D801" s="19"/>
      <c r="E801" s="19"/>
      <c r="K801" s="19"/>
    </row>
    <row r="802" ht="15.75" customHeight="1">
      <c r="D802" s="19"/>
      <c r="E802" s="19"/>
      <c r="K802" s="19"/>
    </row>
    <row r="803" ht="15.75" customHeight="1">
      <c r="D803" s="19"/>
      <c r="E803" s="19"/>
      <c r="K803" s="19"/>
    </row>
    <row r="804" ht="15.75" customHeight="1">
      <c r="D804" s="19"/>
      <c r="E804" s="19"/>
      <c r="K804" s="19"/>
    </row>
    <row r="805" ht="15.75" customHeight="1">
      <c r="D805" s="19"/>
      <c r="E805" s="19"/>
      <c r="K805" s="19"/>
    </row>
    <row r="806" ht="15.75" customHeight="1">
      <c r="D806" s="19"/>
      <c r="E806" s="19"/>
      <c r="K806" s="19"/>
    </row>
    <row r="807" ht="15.75" customHeight="1">
      <c r="D807" s="19"/>
      <c r="E807" s="19"/>
      <c r="K807" s="19"/>
    </row>
    <row r="808" ht="15.75" customHeight="1">
      <c r="D808" s="19"/>
      <c r="E808" s="19"/>
      <c r="K808" s="19"/>
    </row>
    <row r="809" ht="15.75" customHeight="1">
      <c r="D809" s="19"/>
      <c r="E809" s="19"/>
      <c r="K809" s="19"/>
    </row>
    <row r="810" ht="15.75" customHeight="1">
      <c r="D810" s="19"/>
      <c r="E810" s="19"/>
      <c r="K810" s="19"/>
    </row>
    <row r="811" ht="15.75" customHeight="1">
      <c r="D811" s="19"/>
      <c r="E811" s="19"/>
      <c r="K811" s="19"/>
    </row>
    <row r="812" ht="15.75" customHeight="1">
      <c r="D812" s="19"/>
      <c r="E812" s="19"/>
      <c r="K812" s="19"/>
    </row>
    <row r="813" ht="15.75" customHeight="1">
      <c r="D813" s="19"/>
      <c r="E813" s="19"/>
      <c r="K813" s="19"/>
    </row>
    <row r="814" ht="15.75" customHeight="1">
      <c r="D814" s="19"/>
      <c r="E814" s="19"/>
      <c r="K814" s="19"/>
    </row>
    <row r="815" ht="15.75" customHeight="1">
      <c r="D815" s="19"/>
      <c r="E815" s="19"/>
      <c r="K815" s="19"/>
    </row>
    <row r="816" ht="15.75" customHeight="1">
      <c r="D816" s="19"/>
      <c r="E816" s="19"/>
      <c r="K816" s="19"/>
    </row>
    <row r="817" ht="15.75" customHeight="1">
      <c r="D817" s="19"/>
      <c r="E817" s="19"/>
      <c r="K817" s="19"/>
    </row>
    <row r="818" ht="15.75" customHeight="1">
      <c r="D818" s="19"/>
      <c r="E818" s="19"/>
      <c r="K818" s="19"/>
    </row>
    <row r="819" ht="15.75" customHeight="1">
      <c r="D819" s="19"/>
      <c r="E819" s="19"/>
      <c r="K819" s="19"/>
    </row>
    <row r="820" ht="15.75" customHeight="1">
      <c r="D820" s="19"/>
      <c r="E820" s="19"/>
      <c r="K820" s="19"/>
    </row>
    <row r="821" ht="15.75" customHeight="1">
      <c r="D821" s="19"/>
      <c r="E821" s="19"/>
      <c r="K821" s="19"/>
    </row>
    <row r="822" ht="15.75" customHeight="1">
      <c r="D822" s="19"/>
      <c r="E822" s="19"/>
      <c r="K822" s="19"/>
    </row>
    <row r="823" ht="15.75" customHeight="1">
      <c r="D823" s="19"/>
      <c r="E823" s="19"/>
      <c r="K823" s="19"/>
    </row>
    <row r="824" ht="15.75" customHeight="1">
      <c r="D824" s="19"/>
      <c r="E824" s="19"/>
      <c r="K824" s="19"/>
    </row>
    <row r="825" ht="15.75" customHeight="1">
      <c r="D825" s="19"/>
      <c r="E825" s="19"/>
      <c r="K825" s="19"/>
    </row>
    <row r="826" ht="15.75" customHeight="1">
      <c r="D826" s="19"/>
      <c r="E826" s="19"/>
      <c r="K826" s="19"/>
    </row>
    <row r="827" ht="15.75" customHeight="1">
      <c r="D827" s="19"/>
      <c r="E827" s="19"/>
      <c r="K827" s="19"/>
    </row>
    <row r="828" ht="15.75" customHeight="1">
      <c r="D828" s="19"/>
      <c r="E828" s="19"/>
      <c r="K828" s="19"/>
    </row>
    <row r="829" ht="15.75" customHeight="1">
      <c r="D829" s="19"/>
      <c r="E829" s="19"/>
      <c r="K829" s="19"/>
    </row>
    <row r="830" ht="15.75" customHeight="1">
      <c r="D830" s="19"/>
      <c r="E830" s="19"/>
      <c r="K830" s="19"/>
    </row>
    <row r="831" ht="15.75" customHeight="1">
      <c r="D831" s="19"/>
      <c r="E831" s="19"/>
      <c r="K831" s="19"/>
    </row>
    <row r="832" ht="15.75" customHeight="1">
      <c r="D832" s="19"/>
      <c r="E832" s="19"/>
      <c r="K832" s="19"/>
    </row>
    <row r="833" ht="15.75" customHeight="1">
      <c r="D833" s="19"/>
      <c r="E833" s="19"/>
      <c r="K833" s="19"/>
    </row>
    <row r="834" ht="15.75" customHeight="1">
      <c r="D834" s="19"/>
      <c r="E834" s="19"/>
      <c r="K834" s="19"/>
    </row>
    <row r="835" ht="15.75" customHeight="1">
      <c r="D835" s="19"/>
      <c r="E835" s="19"/>
      <c r="K835" s="19"/>
    </row>
    <row r="836" ht="15.75" customHeight="1">
      <c r="D836" s="19"/>
      <c r="E836" s="19"/>
      <c r="K836" s="19"/>
    </row>
    <row r="837" ht="15.75" customHeight="1">
      <c r="D837" s="19"/>
      <c r="E837" s="19"/>
      <c r="K837" s="19"/>
    </row>
    <row r="838" ht="15.75" customHeight="1">
      <c r="D838" s="19"/>
      <c r="E838" s="19"/>
      <c r="K838" s="19"/>
    </row>
    <row r="839" ht="15.75" customHeight="1">
      <c r="D839" s="19"/>
      <c r="E839" s="19"/>
      <c r="K839" s="19"/>
    </row>
    <row r="840" ht="15.75" customHeight="1">
      <c r="D840" s="19"/>
      <c r="E840" s="19"/>
      <c r="K840" s="19"/>
    </row>
    <row r="841" ht="15.75" customHeight="1">
      <c r="D841" s="19"/>
      <c r="E841" s="19"/>
      <c r="K841" s="19"/>
    </row>
    <row r="842" ht="15.75" customHeight="1">
      <c r="D842" s="19"/>
      <c r="E842" s="19"/>
      <c r="K842" s="19"/>
    </row>
    <row r="843" ht="15.75" customHeight="1">
      <c r="D843" s="19"/>
      <c r="E843" s="19"/>
      <c r="K843" s="19"/>
    </row>
    <row r="844" ht="15.75" customHeight="1">
      <c r="D844" s="19"/>
      <c r="E844" s="19"/>
      <c r="K844" s="19"/>
    </row>
    <row r="845" ht="15.75" customHeight="1">
      <c r="D845" s="19"/>
      <c r="E845" s="19"/>
      <c r="K845" s="19"/>
    </row>
    <row r="846" ht="15.75" customHeight="1">
      <c r="D846" s="19"/>
      <c r="E846" s="19"/>
      <c r="K846" s="19"/>
    </row>
    <row r="847" ht="15.75" customHeight="1">
      <c r="D847" s="19"/>
      <c r="E847" s="19"/>
      <c r="K847" s="19"/>
    </row>
    <row r="848" ht="15.75" customHeight="1">
      <c r="D848" s="19"/>
      <c r="E848" s="19"/>
      <c r="K848" s="19"/>
    </row>
    <row r="849" ht="15.75" customHeight="1">
      <c r="D849" s="19"/>
      <c r="E849" s="19"/>
      <c r="K849" s="19"/>
    </row>
    <row r="850" ht="15.75" customHeight="1">
      <c r="D850" s="19"/>
      <c r="E850" s="19"/>
      <c r="K850" s="19"/>
    </row>
    <row r="851" ht="15.75" customHeight="1">
      <c r="D851" s="19"/>
      <c r="E851" s="19"/>
      <c r="K851" s="19"/>
    </row>
    <row r="852" ht="15.75" customHeight="1">
      <c r="D852" s="19"/>
      <c r="E852" s="19"/>
      <c r="K852" s="19"/>
    </row>
    <row r="853" ht="15.75" customHeight="1">
      <c r="D853" s="19"/>
      <c r="E853" s="19"/>
      <c r="K853" s="19"/>
    </row>
    <row r="854" ht="15.75" customHeight="1">
      <c r="D854" s="19"/>
      <c r="E854" s="19"/>
      <c r="K854" s="19"/>
    </row>
    <row r="855" ht="15.75" customHeight="1">
      <c r="D855" s="19"/>
      <c r="E855" s="19"/>
      <c r="K855" s="19"/>
    </row>
    <row r="856" ht="15.75" customHeight="1">
      <c r="D856" s="19"/>
      <c r="E856" s="19"/>
      <c r="K856" s="19"/>
    </row>
    <row r="857" ht="15.75" customHeight="1">
      <c r="D857" s="19"/>
      <c r="E857" s="19"/>
      <c r="K857" s="19"/>
    </row>
    <row r="858" ht="15.75" customHeight="1">
      <c r="D858" s="19"/>
      <c r="E858" s="19"/>
      <c r="K858" s="19"/>
    </row>
    <row r="859" ht="15.75" customHeight="1">
      <c r="D859" s="19"/>
      <c r="E859" s="19"/>
      <c r="K859" s="19"/>
    </row>
    <row r="860" ht="15.75" customHeight="1">
      <c r="D860" s="19"/>
      <c r="E860" s="19"/>
      <c r="K860" s="19"/>
    </row>
    <row r="861" ht="15.75" customHeight="1">
      <c r="D861" s="19"/>
      <c r="E861" s="19"/>
      <c r="K861" s="19"/>
    </row>
    <row r="862" ht="15.75" customHeight="1">
      <c r="D862" s="19"/>
      <c r="E862" s="19"/>
      <c r="K862" s="19"/>
    </row>
    <row r="863" ht="15.75" customHeight="1">
      <c r="D863" s="19"/>
      <c r="E863" s="19"/>
      <c r="K863" s="19"/>
    </row>
    <row r="864" ht="15.75" customHeight="1">
      <c r="D864" s="19"/>
      <c r="E864" s="19"/>
      <c r="K864" s="19"/>
    </row>
    <row r="865" ht="15.75" customHeight="1">
      <c r="D865" s="19"/>
      <c r="E865" s="19"/>
      <c r="K865" s="19"/>
    </row>
    <row r="866" ht="15.75" customHeight="1">
      <c r="D866" s="19"/>
      <c r="E866" s="19"/>
      <c r="K866" s="19"/>
    </row>
    <row r="867" ht="15.75" customHeight="1">
      <c r="D867" s="19"/>
      <c r="E867" s="19"/>
      <c r="K867" s="19"/>
    </row>
    <row r="868" ht="15.75" customHeight="1">
      <c r="D868" s="19"/>
      <c r="E868" s="19"/>
      <c r="K868" s="19"/>
    </row>
    <row r="869" ht="15.75" customHeight="1">
      <c r="D869" s="19"/>
      <c r="E869" s="19"/>
      <c r="K869" s="19"/>
    </row>
    <row r="870" ht="15.75" customHeight="1">
      <c r="D870" s="19"/>
      <c r="E870" s="19"/>
      <c r="K870" s="19"/>
    </row>
    <row r="871" ht="15.75" customHeight="1">
      <c r="D871" s="19"/>
      <c r="E871" s="19"/>
      <c r="K871" s="19"/>
    </row>
    <row r="872" ht="15.75" customHeight="1">
      <c r="D872" s="19"/>
      <c r="E872" s="19"/>
      <c r="K872" s="19"/>
    </row>
    <row r="873" ht="15.75" customHeight="1">
      <c r="D873" s="19"/>
      <c r="E873" s="19"/>
      <c r="K873" s="19"/>
    </row>
    <row r="874" ht="15.75" customHeight="1">
      <c r="D874" s="19"/>
      <c r="E874" s="19"/>
      <c r="K874" s="19"/>
    </row>
    <row r="875" ht="15.75" customHeight="1">
      <c r="D875" s="19"/>
      <c r="E875" s="19"/>
      <c r="K875" s="19"/>
    </row>
    <row r="876" ht="15.75" customHeight="1">
      <c r="D876" s="19"/>
      <c r="E876" s="19"/>
      <c r="K876" s="19"/>
    </row>
    <row r="877" ht="15.75" customHeight="1">
      <c r="D877" s="19"/>
      <c r="E877" s="19"/>
      <c r="K877" s="19"/>
    </row>
    <row r="878" ht="15.75" customHeight="1">
      <c r="D878" s="19"/>
      <c r="E878" s="19"/>
      <c r="K878" s="19"/>
    </row>
    <row r="879" ht="15.75" customHeight="1">
      <c r="D879" s="19"/>
      <c r="E879" s="19"/>
      <c r="K879" s="19"/>
    </row>
    <row r="880" ht="15.75" customHeight="1">
      <c r="D880" s="19"/>
      <c r="E880" s="19"/>
      <c r="K880" s="19"/>
    </row>
    <row r="881" ht="15.75" customHeight="1">
      <c r="D881" s="19"/>
      <c r="E881" s="19"/>
      <c r="K881" s="19"/>
    </row>
    <row r="882" ht="15.75" customHeight="1">
      <c r="D882" s="19"/>
      <c r="E882" s="19"/>
      <c r="K882" s="19"/>
    </row>
    <row r="883" ht="15.75" customHeight="1">
      <c r="D883" s="19"/>
      <c r="E883" s="19"/>
      <c r="K883" s="19"/>
    </row>
    <row r="884" ht="15.75" customHeight="1">
      <c r="D884" s="19"/>
      <c r="E884" s="19"/>
      <c r="K884" s="19"/>
    </row>
    <row r="885" ht="15.75" customHeight="1">
      <c r="D885" s="19"/>
      <c r="E885" s="19"/>
      <c r="K885" s="19"/>
    </row>
    <row r="886" ht="15.75" customHeight="1">
      <c r="D886" s="19"/>
      <c r="E886" s="19"/>
      <c r="K886" s="19"/>
    </row>
    <row r="887" ht="15.75" customHeight="1">
      <c r="D887" s="19"/>
      <c r="E887" s="19"/>
      <c r="K887" s="19"/>
    </row>
    <row r="888" ht="15.75" customHeight="1">
      <c r="D888" s="19"/>
      <c r="E888" s="19"/>
      <c r="K888" s="19"/>
    </row>
    <row r="889" ht="15.75" customHeight="1">
      <c r="D889" s="19"/>
      <c r="E889" s="19"/>
      <c r="K889" s="19"/>
    </row>
    <row r="890" ht="15.75" customHeight="1">
      <c r="D890" s="19"/>
      <c r="E890" s="19"/>
      <c r="K890" s="19"/>
    </row>
    <row r="891" ht="15.75" customHeight="1">
      <c r="D891" s="19"/>
      <c r="E891" s="19"/>
      <c r="K891" s="19"/>
    </row>
    <row r="892" ht="15.75" customHeight="1">
      <c r="D892" s="19"/>
      <c r="E892" s="19"/>
      <c r="K892" s="19"/>
    </row>
    <row r="893" ht="15.75" customHeight="1">
      <c r="D893" s="19"/>
      <c r="E893" s="19"/>
      <c r="K893" s="19"/>
    </row>
    <row r="894" ht="15.75" customHeight="1">
      <c r="D894" s="19"/>
      <c r="E894" s="19"/>
      <c r="K894" s="19"/>
    </row>
    <row r="895" ht="15.75" customHeight="1">
      <c r="D895" s="19"/>
      <c r="E895" s="19"/>
      <c r="K895" s="19"/>
    </row>
    <row r="896" ht="15.75" customHeight="1">
      <c r="D896" s="19"/>
      <c r="E896" s="19"/>
      <c r="K896" s="19"/>
    </row>
    <row r="897" ht="15.75" customHeight="1">
      <c r="D897" s="19"/>
      <c r="E897" s="19"/>
      <c r="K897" s="19"/>
    </row>
    <row r="898" ht="15.75" customHeight="1">
      <c r="D898" s="19"/>
      <c r="E898" s="19"/>
      <c r="K898" s="19"/>
    </row>
    <row r="899" ht="15.75" customHeight="1">
      <c r="D899" s="19"/>
      <c r="E899" s="19"/>
      <c r="K899" s="19"/>
    </row>
    <row r="900" ht="15.75" customHeight="1">
      <c r="D900" s="19"/>
      <c r="E900" s="19"/>
      <c r="K900" s="19"/>
    </row>
    <row r="901" ht="15.75" customHeight="1">
      <c r="D901" s="19"/>
      <c r="E901" s="19"/>
      <c r="K901" s="19"/>
    </row>
    <row r="902" ht="15.75" customHeight="1">
      <c r="D902" s="19"/>
      <c r="E902" s="19"/>
      <c r="K902" s="19"/>
    </row>
    <row r="903" ht="15.75" customHeight="1">
      <c r="D903" s="19"/>
      <c r="E903" s="19"/>
      <c r="K903" s="19"/>
    </row>
    <row r="904" ht="15.75" customHeight="1">
      <c r="D904" s="19"/>
      <c r="E904" s="19"/>
      <c r="K904" s="19"/>
    </row>
    <row r="905" ht="15.75" customHeight="1">
      <c r="D905" s="19"/>
      <c r="E905" s="19"/>
      <c r="K905" s="19"/>
    </row>
    <row r="906" ht="15.75" customHeight="1">
      <c r="D906" s="19"/>
      <c r="E906" s="19"/>
      <c r="K906" s="19"/>
    </row>
    <row r="907" ht="15.75" customHeight="1">
      <c r="D907" s="19"/>
      <c r="E907" s="19"/>
      <c r="K907" s="19"/>
    </row>
    <row r="908" ht="15.75" customHeight="1">
      <c r="D908" s="19"/>
      <c r="E908" s="19"/>
      <c r="K908" s="19"/>
    </row>
    <row r="909" ht="15.75" customHeight="1">
      <c r="D909" s="19"/>
      <c r="E909" s="19"/>
      <c r="K909" s="19"/>
    </row>
    <row r="910" ht="15.75" customHeight="1">
      <c r="D910" s="19"/>
      <c r="E910" s="19"/>
      <c r="K910" s="19"/>
    </row>
    <row r="911" ht="15.75" customHeight="1">
      <c r="D911" s="19"/>
      <c r="E911" s="19"/>
      <c r="K911" s="19"/>
    </row>
    <row r="912" ht="15.75" customHeight="1">
      <c r="D912" s="19"/>
      <c r="E912" s="19"/>
      <c r="K912" s="19"/>
    </row>
    <row r="913" ht="15.75" customHeight="1">
      <c r="D913" s="19"/>
      <c r="E913" s="19"/>
      <c r="K913" s="19"/>
    </row>
    <row r="914" ht="15.75" customHeight="1">
      <c r="D914" s="19"/>
      <c r="E914" s="19"/>
      <c r="K914" s="19"/>
    </row>
    <row r="915" ht="15.75" customHeight="1">
      <c r="D915" s="19"/>
      <c r="E915" s="19"/>
      <c r="K915" s="19"/>
    </row>
    <row r="916" ht="15.75" customHeight="1">
      <c r="D916" s="19"/>
      <c r="E916" s="19"/>
      <c r="K916" s="19"/>
    </row>
    <row r="917" ht="15.75" customHeight="1">
      <c r="D917" s="19"/>
      <c r="E917" s="19"/>
      <c r="K917" s="19"/>
    </row>
    <row r="918" ht="15.75" customHeight="1">
      <c r="D918" s="19"/>
      <c r="E918" s="19"/>
      <c r="K918" s="19"/>
    </row>
    <row r="919" ht="15.75" customHeight="1">
      <c r="D919" s="19"/>
      <c r="E919" s="19"/>
      <c r="K919" s="19"/>
    </row>
    <row r="920" ht="15.75" customHeight="1">
      <c r="D920" s="19"/>
      <c r="E920" s="19"/>
      <c r="K920" s="19"/>
    </row>
    <row r="921" ht="15.75" customHeight="1">
      <c r="D921" s="19"/>
      <c r="E921" s="19"/>
      <c r="K921" s="19"/>
    </row>
    <row r="922" ht="15.75" customHeight="1">
      <c r="D922" s="19"/>
      <c r="E922" s="19"/>
      <c r="K922" s="19"/>
    </row>
    <row r="923" ht="15.75" customHeight="1">
      <c r="D923" s="19"/>
      <c r="E923" s="19"/>
      <c r="K923" s="19"/>
    </row>
    <row r="924" ht="15.75" customHeight="1">
      <c r="D924" s="19"/>
      <c r="E924" s="19"/>
      <c r="K924" s="19"/>
    </row>
    <row r="925" ht="15.75" customHeight="1">
      <c r="D925" s="19"/>
      <c r="E925" s="19"/>
      <c r="K925" s="19"/>
    </row>
    <row r="926" ht="15.75" customHeight="1">
      <c r="D926" s="19"/>
      <c r="E926" s="19"/>
      <c r="K926" s="19"/>
    </row>
    <row r="927" ht="15.75" customHeight="1">
      <c r="D927" s="19"/>
      <c r="E927" s="19"/>
      <c r="K927" s="19"/>
    </row>
    <row r="928" ht="15.75" customHeight="1">
      <c r="D928" s="19"/>
      <c r="E928" s="19"/>
      <c r="K928" s="19"/>
    </row>
    <row r="929" ht="15.75" customHeight="1">
      <c r="D929" s="19"/>
      <c r="E929" s="19"/>
      <c r="K929" s="19"/>
    </row>
    <row r="930" ht="15.75" customHeight="1">
      <c r="D930" s="19"/>
      <c r="E930" s="19"/>
      <c r="K930" s="19"/>
    </row>
    <row r="931" ht="15.75" customHeight="1">
      <c r="D931" s="19"/>
      <c r="E931" s="19"/>
      <c r="K931" s="19"/>
    </row>
    <row r="932" ht="15.75" customHeight="1">
      <c r="D932" s="19"/>
      <c r="E932" s="19"/>
      <c r="K932" s="19"/>
    </row>
    <row r="933" ht="15.75" customHeight="1">
      <c r="D933" s="19"/>
      <c r="E933" s="19"/>
      <c r="K933" s="19"/>
    </row>
    <row r="934" ht="15.75" customHeight="1">
      <c r="D934" s="19"/>
      <c r="E934" s="19"/>
      <c r="K934" s="19"/>
    </row>
    <row r="935" ht="15.75" customHeight="1">
      <c r="D935" s="19"/>
      <c r="E935" s="19"/>
      <c r="K935" s="19"/>
    </row>
    <row r="936" ht="15.75" customHeight="1">
      <c r="D936" s="19"/>
      <c r="E936" s="19"/>
      <c r="K936" s="19"/>
    </row>
    <row r="937" ht="15.75" customHeight="1">
      <c r="D937" s="19"/>
      <c r="E937" s="19"/>
      <c r="K937" s="19"/>
    </row>
    <row r="938" ht="15.75" customHeight="1">
      <c r="D938" s="19"/>
      <c r="E938" s="19"/>
      <c r="K938" s="19"/>
    </row>
    <row r="939" ht="15.75" customHeight="1">
      <c r="D939" s="19"/>
      <c r="E939" s="19"/>
      <c r="K939" s="19"/>
    </row>
    <row r="940" ht="15.75" customHeight="1">
      <c r="D940" s="19"/>
      <c r="E940" s="19"/>
      <c r="K940" s="19"/>
    </row>
    <row r="941" ht="15.75" customHeight="1">
      <c r="D941" s="19"/>
      <c r="E941" s="19"/>
      <c r="K941" s="19"/>
    </row>
    <row r="942" ht="15.75" customHeight="1">
      <c r="D942" s="19"/>
      <c r="E942" s="19"/>
      <c r="K942" s="19"/>
    </row>
    <row r="943" ht="15.75" customHeight="1">
      <c r="D943" s="19"/>
      <c r="E943" s="19"/>
      <c r="K943" s="19"/>
    </row>
    <row r="944" ht="15.75" customHeight="1">
      <c r="D944" s="19"/>
      <c r="E944" s="19"/>
      <c r="K944" s="19"/>
    </row>
    <row r="945" ht="15.75" customHeight="1">
      <c r="D945" s="19"/>
      <c r="E945" s="19"/>
      <c r="K945" s="19"/>
    </row>
    <row r="946" ht="15.75" customHeight="1">
      <c r="D946" s="19"/>
      <c r="E946" s="19"/>
      <c r="K946" s="19"/>
    </row>
    <row r="947" ht="15.75" customHeight="1">
      <c r="D947" s="19"/>
      <c r="E947" s="19"/>
      <c r="K947" s="19"/>
    </row>
    <row r="948" ht="15.75" customHeight="1">
      <c r="D948" s="19"/>
      <c r="E948" s="19"/>
      <c r="K948" s="19"/>
    </row>
    <row r="949" ht="15.75" customHeight="1">
      <c r="D949" s="19"/>
      <c r="E949" s="19"/>
      <c r="K949" s="19"/>
    </row>
    <row r="950" ht="15.75" customHeight="1">
      <c r="D950" s="19"/>
      <c r="E950" s="19"/>
      <c r="K950" s="19"/>
    </row>
    <row r="951" ht="15.75" customHeight="1">
      <c r="D951" s="19"/>
      <c r="E951" s="19"/>
      <c r="K951" s="19"/>
    </row>
    <row r="952" ht="15.75" customHeight="1">
      <c r="D952" s="19"/>
      <c r="E952" s="19"/>
      <c r="K952" s="19"/>
    </row>
    <row r="953" ht="15.75" customHeight="1">
      <c r="D953" s="19"/>
      <c r="E953" s="19"/>
      <c r="K953" s="19"/>
    </row>
    <row r="954" ht="15.75" customHeight="1">
      <c r="D954" s="19"/>
      <c r="E954" s="19"/>
      <c r="K954" s="19"/>
    </row>
    <row r="955" ht="15.75" customHeight="1">
      <c r="D955" s="19"/>
      <c r="E955" s="19"/>
      <c r="K955" s="19"/>
    </row>
    <row r="956" ht="15.75" customHeight="1">
      <c r="D956" s="19"/>
      <c r="E956" s="19"/>
      <c r="K956" s="19"/>
    </row>
    <row r="957" ht="15.75" customHeight="1">
      <c r="D957" s="19"/>
      <c r="E957" s="19"/>
      <c r="K957" s="19"/>
    </row>
    <row r="958" ht="15.75" customHeight="1">
      <c r="D958" s="19"/>
      <c r="E958" s="19"/>
      <c r="K958" s="19"/>
    </row>
    <row r="959" ht="15.75" customHeight="1">
      <c r="D959" s="19"/>
      <c r="E959" s="19"/>
      <c r="K959" s="19"/>
    </row>
    <row r="960" ht="15.75" customHeight="1">
      <c r="D960" s="19"/>
      <c r="E960" s="19"/>
      <c r="K960" s="19"/>
    </row>
    <row r="961" ht="15.75" customHeight="1">
      <c r="D961" s="19"/>
      <c r="E961" s="19"/>
      <c r="K961" s="19"/>
    </row>
    <row r="962" ht="15.75" customHeight="1">
      <c r="D962" s="19"/>
      <c r="E962" s="19"/>
      <c r="K962" s="19"/>
    </row>
    <row r="963" ht="15.75" customHeight="1">
      <c r="D963" s="19"/>
      <c r="E963" s="19"/>
      <c r="K963" s="19"/>
    </row>
    <row r="964" ht="15.75" customHeight="1">
      <c r="D964" s="19"/>
      <c r="E964" s="19"/>
      <c r="K964" s="19"/>
    </row>
    <row r="965" ht="15.75" customHeight="1">
      <c r="D965" s="19"/>
      <c r="E965" s="19"/>
      <c r="K965" s="19"/>
    </row>
    <row r="966" ht="15.75" customHeight="1">
      <c r="D966" s="19"/>
      <c r="E966" s="19"/>
      <c r="K966" s="19"/>
    </row>
    <row r="967" ht="15.75" customHeight="1">
      <c r="D967" s="19"/>
      <c r="E967" s="19"/>
      <c r="K967" s="19"/>
    </row>
    <row r="968" ht="15.75" customHeight="1">
      <c r="D968" s="19"/>
      <c r="E968" s="19"/>
      <c r="K968" s="19"/>
    </row>
    <row r="969" ht="15.75" customHeight="1">
      <c r="D969" s="19"/>
      <c r="E969" s="19"/>
      <c r="K969" s="19"/>
    </row>
    <row r="970" ht="15.75" customHeight="1">
      <c r="D970" s="19"/>
      <c r="E970" s="19"/>
      <c r="K970" s="19"/>
    </row>
    <row r="971" ht="15.75" customHeight="1">
      <c r="D971" s="19"/>
      <c r="E971" s="19"/>
      <c r="K971" s="19"/>
    </row>
    <row r="972" ht="15.75" customHeight="1">
      <c r="D972" s="19"/>
      <c r="E972" s="19"/>
      <c r="K972" s="19"/>
    </row>
    <row r="973" ht="15.75" customHeight="1">
      <c r="D973" s="19"/>
      <c r="E973" s="19"/>
      <c r="K973" s="19"/>
    </row>
    <row r="974" ht="15.75" customHeight="1">
      <c r="D974" s="19"/>
      <c r="E974" s="19"/>
      <c r="K974" s="19"/>
    </row>
    <row r="975" ht="15.75" customHeight="1">
      <c r="D975" s="19"/>
      <c r="E975" s="19"/>
      <c r="K975" s="19"/>
    </row>
    <row r="976" ht="15.75" customHeight="1">
      <c r="D976" s="19"/>
      <c r="E976" s="19"/>
      <c r="K976" s="19"/>
    </row>
    <row r="977" ht="15.75" customHeight="1">
      <c r="D977" s="19"/>
      <c r="E977" s="19"/>
      <c r="K977" s="19"/>
    </row>
    <row r="978" ht="15.75" customHeight="1">
      <c r="D978" s="19"/>
      <c r="E978" s="19"/>
      <c r="K978" s="19"/>
    </row>
    <row r="979" ht="15.75" customHeight="1">
      <c r="D979" s="19"/>
      <c r="E979" s="19"/>
      <c r="K979" s="19"/>
    </row>
    <row r="980" ht="15.75" customHeight="1">
      <c r="D980" s="19"/>
      <c r="E980" s="19"/>
      <c r="K980" s="19"/>
    </row>
    <row r="981" ht="15.75" customHeight="1">
      <c r="D981" s="19"/>
      <c r="E981" s="19"/>
      <c r="K981" s="19"/>
    </row>
    <row r="982" ht="15.75" customHeight="1">
      <c r="D982" s="19"/>
      <c r="E982" s="19"/>
      <c r="K982" s="19"/>
    </row>
    <row r="983" ht="15.75" customHeight="1">
      <c r="D983" s="19"/>
      <c r="E983" s="19"/>
      <c r="K983" s="19"/>
    </row>
    <row r="984" ht="15.75" customHeight="1">
      <c r="D984" s="19"/>
      <c r="E984" s="19"/>
      <c r="K984" s="19"/>
    </row>
    <row r="985" ht="15.75" customHeight="1">
      <c r="D985" s="19"/>
      <c r="E985" s="19"/>
      <c r="K985" s="19"/>
    </row>
    <row r="986" ht="15.75" customHeight="1">
      <c r="D986" s="19"/>
      <c r="E986" s="19"/>
      <c r="K986" s="19"/>
    </row>
    <row r="987" ht="15.75" customHeight="1">
      <c r="D987" s="19"/>
      <c r="E987" s="19"/>
      <c r="K987" s="19"/>
    </row>
    <row r="988" ht="15.75" customHeight="1">
      <c r="D988" s="19"/>
      <c r="E988" s="19"/>
      <c r="K988" s="19"/>
    </row>
    <row r="989" ht="15.75" customHeight="1">
      <c r="D989" s="19"/>
      <c r="E989" s="19"/>
      <c r="K989" s="19"/>
    </row>
    <row r="990" ht="15.75" customHeight="1">
      <c r="D990" s="19"/>
      <c r="E990" s="19"/>
      <c r="K990" s="19"/>
    </row>
    <row r="991" ht="15.75" customHeight="1">
      <c r="D991" s="19"/>
      <c r="E991" s="19"/>
      <c r="K991" s="19"/>
    </row>
    <row r="992" ht="15.75" customHeight="1">
      <c r="D992" s="19"/>
      <c r="E992" s="19"/>
      <c r="K992" s="19"/>
    </row>
    <row r="993" ht="15.75" customHeight="1">
      <c r="D993" s="19"/>
      <c r="E993" s="19"/>
      <c r="K993" s="19"/>
    </row>
    <row r="994" ht="15.75" customHeight="1">
      <c r="D994" s="19"/>
      <c r="E994" s="19"/>
      <c r="K994" s="19"/>
    </row>
    <row r="995" ht="15.75" customHeight="1">
      <c r="D995" s="19"/>
      <c r="E995" s="19"/>
      <c r="K995" s="19"/>
    </row>
    <row r="996" ht="15.75" customHeight="1">
      <c r="D996" s="19"/>
      <c r="E996" s="19"/>
      <c r="K996" s="19"/>
    </row>
    <row r="997" ht="15.75" customHeight="1">
      <c r="D997" s="19"/>
      <c r="E997" s="19"/>
      <c r="K997" s="19"/>
    </row>
    <row r="998" ht="15.75" customHeight="1">
      <c r="D998" s="19"/>
      <c r="E998" s="19"/>
      <c r="K998" s="19"/>
    </row>
    <row r="999" ht="15.75" customHeight="1">
      <c r="D999" s="19"/>
      <c r="E999" s="19"/>
      <c r="K999" s="19"/>
    </row>
    <row r="1000" ht="15.75" customHeight="1">
      <c r="D1000" s="19"/>
      <c r="E1000" s="19"/>
      <c r="K1000" s="19"/>
    </row>
  </sheetData>
  <dataValidations>
    <dataValidation type="list" allowBlank="1" sqref="D2">
      <formula1>"Functional,Exploratory,Usability,Regression,Content"</formula1>
    </dataValidation>
    <dataValidation type="list" allowBlank="1" sqref="E2:E1000">
      <formula1>"High,Medium,Low"</formula1>
    </dataValidation>
    <dataValidation type="list" allowBlank="1" sqref="K2:K1000">
      <formula1>"Not Run,Pass,Fail,Blocked"</formula1>
    </dataValidation>
    <dataValidation type="list" allowBlank="1" sqref="D3:D1000">
      <formula1>"Functional,Exploratory,Usability,Regression"</formula1>
    </dataValidation>
  </dataValidations>
  <hyperlinks>
    <hyperlink r:id="rId1" ref="M2"/>
    <hyperlink r:id="rId2" ref="M3"/>
    <hyperlink r:id="rId3" ref="M4"/>
    <hyperlink r:id="rId4" ref="N4"/>
    <hyperlink r:id="rId5" ref="M5"/>
    <hyperlink r:id="rId6" ref="N5"/>
    <hyperlink r:id="rId7" ref="M6"/>
    <hyperlink r:id="rId8" ref="M7"/>
    <hyperlink r:id="rId9" ref="N7"/>
    <hyperlink r:id="rId10" ref="M8"/>
    <hyperlink r:id="rId11" ref="M9"/>
    <hyperlink r:id="rId12" ref="N9"/>
    <hyperlink r:id="rId13" ref="M10"/>
    <hyperlink r:id="rId14" ref="N11"/>
    <hyperlink r:id="rId15" ref="N12"/>
    <hyperlink r:id="rId16" ref="N13"/>
  </hyperlinks>
  <printOptions/>
  <pageMargins bottom="0.75" footer="0.0" header="0.0" left="0.7" right="0.7" top="0.75"/>
  <pageSetup orientation="landscape"/>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2.13"/>
    <col customWidth="1" min="3" max="3" width="13.0"/>
    <col customWidth="1" min="4" max="4" width="12.0"/>
    <col customWidth="1" min="5" max="6" width="12.63"/>
    <col customWidth="1" min="7" max="7" width="12.0"/>
    <col customWidth="1" min="8" max="8" width="11.88"/>
    <col customWidth="1" min="9" max="9" width="29.38"/>
    <col customWidth="1" min="10" max="10" width="31.63"/>
    <col customWidth="1" min="11" max="11" width="31.38"/>
    <col customWidth="1" min="12" max="12" width="30.0"/>
    <col customWidth="1" min="13" max="13" width="12.63"/>
    <col customWidth="1" min="14" max="14" width="13.63"/>
    <col customWidth="1" min="15" max="15" width="11.63"/>
    <col customWidth="1" min="16" max="16" width="8.13"/>
    <col customWidth="1" min="17" max="17" width="14.5"/>
    <col customWidth="1" min="18" max="18" width="41.13"/>
  </cols>
  <sheetData>
    <row r="1" ht="24.0" customHeight="1">
      <c r="A1" s="1" t="s">
        <v>9</v>
      </c>
      <c r="B1" s="1" t="s">
        <v>12</v>
      </c>
      <c r="C1" s="1" t="s">
        <v>15</v>
      </c>
      <c r="D1" s="1" t="s">
        <v>1</v>
      </c>
      <c r="E1" s="1" t="s">
        <v>18</v>
      </c>
      <c r="F1" s="1" t="s">
        <v>20</v>
      </c>
      <c r="G1" s="1" t="s">
        <v>23</v>
      </c>
      <c r="H1" s="1" t="s">
        <v>4</v>
      </c>
      <c r="I1" s="1" t="s">
        <v>5</v>
      </c>
      <c r="J1" s="1" t="s">
        <v>26</v>
      </c>
      <c r="K1" s="1" t="s">
        <v>11</v>
      </c>
      <c r="L1" s="1" t="s">
        <v>13</v>
      </c>
      <c r="M1" s="1" t="s">
        <v>31</v>
      </c>
      <c r="N1" s="1" t="s">
        <v>17</v>
      </c>
      <c r="O1" s="1" t="s">
        <v>19</v>
      </c>
      <c r="P1" s="1" t="s">
        <v>16</v>
      </c>
      <c r="Q1" s="1" t="s">
        <v>39</v>
      </c>
      <c r="R1" s="1" t="s">
        <v>41</v>
      </c>
    </row>
    <row r="2" ht="72.0" customHeight="1">
      <c r="A2" s="4" t="s">
        <v>45</v>
      </c>
      <c r="B2" s="4" t="s">
        <v>48</v>
      </c>
      <c r="C2" s="4" t="s">
        <v>25</v>
      </c>
      <c r="D2" s="4" t="s">
        <v>32</v>
      </c>
      <c r="E2" s="4" t="s">
        <v>59</v>
      </c>
      <c r="F2" s="4" t="s">
        <v>60</v>
      </c>
      <c r="G2" s="4" t="s">
        <v>62</v>
      </c>
      <c r="H2" s="4" t="s">
        <v>62</v>
      </c>
      <c r="I2" s="4" t="s">
        <v>64</v>
      </c>
      <c r="J2" s="4" t="s">
        <v>66</v>
      </c>
      <c r="K2" s="4" t="s">
        <v>68</v>
      </c>
      <c r="L2" s="4" t="s">
        <v>70</v>
      </c>
      <c r="M2" s="4" t="s">
        <v>73</v>
      </c>
      <c r="N2" s="6" t="s">
        <v>61</v>
      </c>
      <c r="O2" s="4"/>
      <c r="P2" s="4" t="s">
        <v>77</v>
      </c>
      <c r="Q2" s="7">
        <v>46269.0</v>
      </c>
      <c r="R2" s="4"/>
    </row>
    <row r="3" ht="60.0" customHeight="1">
      <c r="A3" s="8" t="s">
        <v>80</v>
      </c>
      <c r="B3" s="8" t="s">
        <v>83</v>
      </c>
      <c r="C3" s="8" t="s">
        <v>75</v>
      </c>
      <c r="D3" s="8" t="s">
        <v>76</v>
      </c>
      <c r="E3" s="8" t="s">
        <v>44</v>
      </c>
      <c r="F3" s="8" t="s">
        <v>60</v>
      </c>
      <c r="G3" s="8" t="s">
        <v>46</v>
      </c>
      <c r="H3" s="8" t="s">
        <v>46</v>
      </c>
      <c r="I3" s="8" t="s">
        <v>87</v>
      </c>
      <c r="J3" s="8" t="s">
        <v>88</v>
      </c>
      <c r="K3" s="8" t="s">
        <v>89</v>
      </c>
      <c r="L3" s="8" t="s">
        <v>90</v>
      </c>
      <c r="M3" s="8" t="s">
        <v>73</v>
      </c>
      <c r="N3" s="9" t="s">
        <v>86</v>
      </c>
      <c r="O3" s="11" t="s">
        <v>93</v>
      </c>
      <c r="P3" s="8" t="s">
        <v>77</v>
      </c>
      <c r="Q3" s="10">
        <v>46269.0</v>
      </c>
      <c r="R3" s="8" t="s">
        <v>102</v>
      </c>
    </row>
    <row r="4" ht="48.0" customHeight="1">
      <c r="A4" s="4" t="s">
        <v>103</v>
      </c>
      <c r="B4" s="4" t="s">
        <v>104</v>
      </c>
      <c r="C4" s="4" t="s">
        <v>105</v>
      </c>
      <c r="D4" s="4" t="s">
        <v>106</v>
      </c>
      <c r="E4" s="4" t="s">
        <v>59</v>
      </c>
      <c r="F4" s="4" t="s">
        <v>60</v>
      </c>
      <c r="G4" s="4" t="s">
        <v>108</v>
      </c>
      <c r="H4" s="4" t="s">
        <v>108</v>
      </c>
      <c r="I4" s="4" t="s">
        <v>110</v>
      </c>
      <c r="J4" s="4" t="s">
        <v>111</v>
      </c>
      <c r="K4" s="4" t="s">
        <v>112</v>
      </c>
      <c r="L4" s="4" t="s">
        <v>113</v>
      </c>
      <c r="M4" s="4" t="s">
        <v>73</v>
      </c>
      <c r="N4" s="6" t="s">
        <v>117</v>
      </c>
      <c r="O4" s="6" t="s">
        <v>123</v>
      </c>
      <c r="P4" s="4" t="s">
        <v>77</v>
      </c>
      <c r="Q4" s="7">
        <v>46269.0</v>
      </c>
      <c r="R4" s="4" t="s">
        <v>134</v>
      </c>
    </row>
    <row r="5" ht="15.75" customHeight="1">
      <c r="A5" s="8"/>
      <c r="B5" s="8"/>
      <c r="C5" s="8"/>
      <c r="D5" s="8"/>
      <c r="E5" s="8"/>
      <c r="F5" s="8"/>
      <c r="G5" s="8"/>
      <c r="H5" s="8"/>
      <c r="I5" s="8"/>
      <c r="J5" s="8"/>
      <c r="K5" s="8"/>
      <c r="L5" s="8"/>
      <c r="M5" s="8"/>
      <c r="N5" s="8"/>
      <c r="O5" s="8"/>
      <c r="P5" s="8"/>
      <c r="Q5" s="8"/>
      <c r="R5" s="8"/>
    </row>
    <row r="6" ht="15.75" customHeight="1">
      <c r="A6" s="4"/>
      <c r="B6" s="4"/>
      <c r="C6" s="4"/>
      <c r="D6" s="4"/>
      <c r="E6" s="4"/>
      <c r="F6" s="4"/>
      <c r="G6" s="4"/>
      <c r="H6" s="4"/>
      <c r="I6" s="4"/>
      <c r="J6" s="4"/>
      <c r="K6" s="4"/>
      <c r="L6" s="4"/>
      <c r="M6" s="4"/>
      <c r="N6" s="4"/>
      <c r="O6" s="4"/>
      <c r="P6" s="4"/>
      <c r="Q6" s="4"/>
      <c r="R6" s="4"/>
    </row>
    <row r="7" ht="15.75" customHeight="1">
      <c r="A7" s="8"/>
      <c r="B7" s="8"/>
      <c r="C7" s="8"/>
      <c r="D7" s="8"/>
      <c r="E7" s="8"/>
      <c r="F7" s="8"/>
      <c r="G7" s="8"/>
      <c r="H7" s="8"/>
      <c r="I7" s="8"/>
      <c r="J7" s="8"/>
      <c r="K7" s="8"/>
      <c r="L7" s="8"/>
      <c r="M7" s="8"/>
      <c r="N7" s="8"/>
      <c r="O7" s="8"/>
      <c r="P7" s="8"/>
      <c r="Q7" s="8"/>
      <c r="R7" s="8"/>
    </row>
    <row r="8" ht="15.75" customHeight="1">
      <c r="A8" s="4"/>
      <c r="B8" s="4"/>
      <c r="C8" s="4"/>
      <c r="D8" s="4"/>
      <c r="E8" s="4"/>
      <c r="F8" s="4"/>
      <c r="G8" s="4"/>
      <c r="H8" s="4"/>
      <c r="I8" s="4"/>
      <c r="J8" s="4"/>
      <c r="K8" s="4"/>
      <c r="L8" s="4"/>
      <c r="M8" s="4"/>
      <c r="N8" s="4"/>
      <c r="O8" s="4"/>
      <c r="P8" s="4"/>
      <c r="Q8" s="4"/>
      <c r="R8" s="4"/>
    </row>
    <row r="9" ht="15.75" customHeight="1">
      <c r="A9" s="8"/>
      <c r="B9" s="8"/>
      <c r="C9" s="8"/>
      <c r="D9" s="8"/>
      <c r="E9" s="8"/>
      <c r="F9" s="8"/>
      <c r="G9" s="8"/>
      <c r="H9" s="8"/>
      <c r="I9" s="8"/>
      <c r="J9" s="8"/>
      <c r="K9" s="8"/>
      <c r="L9" s="8"/>
      <c r="M9" s="8"/>
      <c r="N9" s="8"/>
      <c r="O9" s="8"/>
      <c r="P9" s="8"/>
      <c r="Q9" s="8"/>
      <c r="R9" s="8"/>
    </row>
    <row r="10" ht="15.75" customHeight="1">
      <c r="A10" s="4"/>
      <c r="B10" s="4"/>
      <c r="C10" s="4"/>
      <c r="D10" s="4"/>
      <c r="E10" s="4"/>
      <c r="F10" s="4"/>
      <c r="G10" s="4"/>
      <c r="H10" s="4"/>
      <c r="I10" s="4"/>
      <c r="J10" s="4"/>
      <c r="K10" s="4"/>
      <c r="L10" s="4"/>
      <c r="M10" s="4"/>
      <c r="N10" s="4"/>
      <c r="O10" s="4"/>
      <c r="P10" s="4"/>
      <c r="Q10" s="4"/>
      <c r="R10" s="4"/>
    </row>
    <row r="11" ht="15.75" customHeight="1">
      <c r="A11" s="8"/>
      <c r="B11" s="8"/>
      <c r="C11" s="8"/>
      <c r="D11" s="8"/>
      <c r="E11" s="8"/>
      <c r="F11" s="8"/>
      <c r="G11" s="8"/>
      <c r="H11" s="8"/>
      <c r="I11" s="8"/>
      <c r="J11" s="8"/>
      <c r="K11" s="8"/>
      <c r="L11" s="8"/>
      <c r="M11" s="8"/>
      <c r="N11" s="8"/>
      <c r="O11" s="8"/>
      <c r="P11" s="8"/>
      <c r="Q11" s="8"/>
      <c r="R11" s="8"/>
    </row>
    <row r="12" ht="15.75" customHeight="1">
      <c r="A12" s="4"/>
      <c r="B12" s="4"/>
      <c r="C12" s="4"/>
      <c r="D12" s="4"/>
      <c r="E12" s="4"/>
      <c r="F12" s="4"/>
      <c r="G12" s="4"/>
      <c r="H12" s="4"/>
      <c r="I12" s="4"/>
      <c r="J12" s="4"/>
      <c r="K12" s="4"/>
      <c r="L12" s="4"/>
      <c r="M12" s="4"/>
      <c r="N12" s="4"/>
      <c r="O12" s="4"/>
      <c r="P12" s="4"/>
      <c r="Q12" s="4"/>
      <c r="R12" s="4"/>
    </row>
    <row r="13" ht="15.75" customHeight="1">
      <c r="A13" s="8"/>
      <c r="B13" s="8"/>
      <c r="C13" s="8"/>
      <c r="D13" s="8"/>
      <c r="E13" s="8"/>
      <c r="F13" s="8"/>
      <c r="G13" s="8"/>
      <c r="H13" s="8"/>
      <c r="I13" s="8"/>
      <c r="J13" s="8"/>
      <c r="K13" s="8"/>
      <c r="L13" s="8"/>
      <c r="M13" s="8"/>
      <c r="N13" s="8"/>
      <c r="O13" s="8"/>
      <c r="P13" s="8"/>
      <c r="Q13" s="8"/>
      <c r="R13" s="8"/>
    </row>
    <row r="14" ht="15.75" customHeight="1">
      <c r="A14" s="4"/>
      <c r="B14" s="4"/>
      <c r="C14" s="4"/>
      <c r="D14" s="4"/>
      <c r="E14" s="4"/>
      <c r="F14" s="4"/>
      <c r="G14" s="4"/>
      <c r="H14" s="4"/>
      <c r="I14" s="4"/>
      <c r="J14" s="4"/>
      <c r="K14" s="4"/>
      <c r="L14" s="4"/>
      <c r="M14" s="4"/>
      <c r="N14" s="4"/>
      <c r="O14" s="4"/>
      <c r="P14" s="4"/>
      <c r="Q14" s="4"/>
      <c r="R14" s="4"/>
    </row>
    <row r="15" ht="15.75" customHeight="1">
      <c r="A15" s="8"/>
      <c r="B15" s="8"/>
      <c r="C15" s="8"/>
      <c r="D15" s="8"/>
      <c r="E15" s="8"/>
      <c r="F15" s="8"/>
      <c r="G15" s="8"/>
      <c r="H15" s="8"/>
      <c r="I15" s="8"/>
      <c r="J15" s="8"/>
      <c r="K15" s="8"/>
      <c r="L15" s="8"/>
      <c r="M15" s="8"/>
      <c r="N15" s="8"/>
      <c r="O15" s="8"/>
      <c r="P15" s="8"/>
      <c r="Q15" s="8"/>
      <c r="R15" s="8"/>
    </row>
    <row r="16" ht="15.75" customHeight="1">
      <c r="A16" s="4"/>
      <c r="B16" s="4"/>
      <c r="C16" s="4"/>
      <c r="D16" s="4"/>
      <c r="E16" s="4"/>
      <c r="F16" s="4"/>
      <c r="G16" s="4"/>
      <c r="H16" s="4"/>
      <c r="I16" s="4"/>
      <c r="J16" s="4"/>
      <c r="K16" s="4"/>
      <c r="L16" s="4"/>
      <c r="M16" s="4"/>
      <c r="N16" s="4"/>
      <c r="O16" s="4"/>
      <c r="P16" s="4"/>
      <c r="Q16" s="4"/>
      <c r="R16" s="4"/>
    </row>
    <row r="17" ht="15.75" customHeight="1">
      <c r="A17" s="8"/>
      <c r="B17" s="8"/>
      <c r="C17" s="8"/>
      <c r="D17" s="8"/>
      <c r="E17" s="8"/>
      <c r="F17" s="8"/>
      <c r="G17" s="8"/>
      <c r="H17" s="8"/>
      <c r="I17" s="8"/>
      <c r="J17" s="8"/>
      <c r="K17" s="8"/>
      <c r="L17" s="8"/>
      <c r="M17" s="8"/>
      <c r="N17" s="8"/>
      <c r="O17" s="8"/>
      <c r="P17" s="8"/>
      <c r="Q17" s="8"/>
      <c r="R17" s="8"/>
    </row>
    <row r="18" ht="15.75" customHeight="1">
      <c r="A18" s="4"/>
      <c r="B18" s="4"/>
      <c r="C18" s="4"/>
      <c r="D18" s="4"/>
      <c r="E18" s="4"/>
      <c r="F18" s="4"/>
      <c r="G18" s="4"/>
      <c r="H18" s="4"/>
      <c r="I18" s="4"/>
      <c r="J18" s="4"/>
      <c r="K18" s="4"/>
      <c r="L18" s="4"/>
      <c r="M18" s="4"/>
      <c r="N18" s="4"/>
      <c r="O18" s="4"/>
      <c r="P18" s="4"/>
      <c r="Q18" s="4"/>
      <c r="R18" s="4"/>
    </row>
    <row r="19" ht="15.75" customHeight="1">
      <c r="A19" s="8"/>
      <c r="B19" s="8"/>
      <c r="C19" s="8"/>
      <c r="D19" s="8"/>
      <c r="E19" s="8"/>
      <c r="F19" s="8"/>
      <c r="G19" s="8"/>
      <c r="H19" s="8"/>
      <c r="I19" s="8"/>
      <c r="J19" s="8"/>
      <c r="K19" s="8"/>
      <c r="L19" s="8"/>
      <c r="M19" s="8"/>
      <c r="N19" s="8"/>
      <c r="O19" s="8"/>
      <c r="P19" s="8"/>
      <c r="Q19" s="8"/>
      <c r="R19" s="8"/>
    </row>
    <row r="20" ht="15.75" customHeight="1">
      <c r="A20" s="4"/>
      <c r="B20" s="4"/>
      <c r="C20" s="4"/>
      <c r="D20" s="4"/>
      <c r="E20" s="4"/>
      <c r="F20" s="4"/>
      <c r="G20" s="4"/>
      <c r="H20" s="4"/>
      <c r="I20" s="4"/>
      <c r="J20" s="4"/>
      <c r="K20" s="4"/>
      <c r="L20" s="4"/>
      <c r="M20" s="4"/>
      <c r="N20" s="4"/>
      <c r="O20" s="4"/>
      <c r="P20" s="4"/>
      <c r="Q20" s="4"/>
      <c r="R20" s="4"/>
    </row>
    <row r="21" ht="15.75" customHeight="1">
      <c r="A21" s="8"/>
      <c r="B21" s="8"/>
      <c r="C21" s="8"/>
      <c r="D21" s="8"/>
      <c r="E21" s="8"/>
      <c r="F21" s="8"/>
      <c r="G21" s="8"/>
      <c r="H21" s="8"/>
      <c r="I21" s="8"/>
      <c r="J21" s="8"/>
      <c r="K21" s="8"/>
      <c r="L21" s="8"/>
      <c r="M21" s="8"/>
      <c r="N21" s="8"/>
      <c r="O21" s="8"/>
      <c r="P21" s="8"/>
      <c r="Q21" s="8"/>
      <c r="R21" s="8"/>
    </row>
    <row r="22" ht="15.75" customHeight="1">
      <c r="A22" s="4"/>
      <c r="B22" s="4"/>
      <c r="C22" s="4"/>
      <c r="D22" s="4"/>
      <c r="E22" s="4"/>
      <c r="F22" s="4"/>
      <c r="G22" s="4"/>
      <c r="H22" s="4"/>
      <c r="I22" s="4"/>
      <c r="J22" s="4"/>
      <c r="K22" s="4"/>
      <c r="L22" s="4"/>
      <c r="M22" s="4"/>
      <c r="N22" s="4"/>
      <c r="O22" s="4"/>
      <c r="P22" s="4"/>
      <c r="Q22" s="4"/>
      <c r="R22" s="4"/>
    </row>
    <row r="23" ht="15.75" customHeight="1">
      <c r="A23" s="8"/>
      <c r="B23" s="8"/>
      <c r="C23" s="8"/>
      <c r="D23" s="8"/>
      <c r="E23" s="8"/>
      <c r="F23" s="8"/>
      <c r="G23" s="8"/>
      <c r="H23" s="8"/>
      <c r="I23" s="8"/>
      <c r="J23" s="8"/>
      <c r="K23" s="8"/>
      <c r="L23" s="8"/>
      <c r="M23" s="8"/>
      <c r="N23" s="8"/>
      <c r="O23" s="8"/>
      <c r="P23" s="8"/>
      <c r="Q23" s="8"/>
      <c r="R23" s="8"/>
    </row>
    <row r="24" ht="15.75" customHeight="1">
      <c r="A24" s="4"/>
      <c r="B24" s="4"/>
      <c r="C24" s="4"/>
      <c r="D24" s="4"/>
      <c r="E24" s="4"/>
      <c r="F24" s="4"/>
      <c r="G24" s="4"/>
      <c r="H24" s="4"/>
      <c r="I24" s="4"/>
      <c r="J24" s="4"/>
      <c r="K24" s="4"/>
      <c r="L24" s="4"/>
      <c r="M24" s="4"/>
      <c r="N24" s="4"/>
      <c r="O24" s="4"/>
      <c r="P24" s="4"/>
      <c r="Q24" s="4"/>
      <c r="R24" s="4"/>
    </row>
    <row r="25" ht="15.75" customHeight="1">
      <c r="A25" s="8"/>
      <c r="B25" s="8"/>
      <c r="C25" s="8"/>
      <c r="D25" s="8"/>
      <c r="E25" s="8"/>
      <c r="F25" s="8"/>
      <c r="G25" s="8"/>
      <c r="H25" s="8"/>
      <c r="I25" s="8"/>
      <c r="J25" s="8"/>
      <c r="K25" s="8"/>
      <c r="L25" s="8"/>
      <c r="M25" s="8"/>
      <c r="N25" s="8"/>
      <c r="O25" s="8"/>
      <c r="P25" s="8"/>
      <c r="Q25" s="8"/>
      <c r="R25" s="8"/>
    </row>
    <row r="26" ht="15.75" customHeight="1">
      <c r="A26" s="4"/>
      <c r="B26" s="4"/>
      <c r="C26" s="4"/>
      <c r="D26" s="4"/>
      <c r="E26" s="4"/>
      <c r="F26" s="4"/>
      <c r="G26" s="4"/>
      <c r="H26" s="4"/>
      <c r="I26" s="4"/>
      <c r="J26" s="4"/>
      <c r="K26" s="4"/>
      <c r="L26" s="4"/>
      <c r="M26" s="4"/>
      <c r="N26" s="4"/>
      <c r="O26" s="4"/>
      <c r="P26" s="4"/>
      <c r="Q26" s="4"/>
      <c r="R26" s="4"/>
    </row>
    <row r="27" ht="15.75" customHeight="1">
      <c r="A27" s="8"/>
      <c r="B27" s="8"/>
      <c r="C27" s="8"/>
      <c r="D27" s="8"/>
      <c r="E27" s="8"/>
      <c r="F27" s="8"/>
      <c r="G27" s="8"/>
      <c r="H27" s="8"/>
      <c r="I27" s="8"/>
      <c r="J27" s="8"/>
      <c r="K27" s="8"/>
      <c r="L27" s="8"/>
      <c r="M27" s="8"/>
      <c r="N27" s="8"/>
      <c r="O27" s="8"/>
      <c r="P27" s="8"/>
      <c r="Q27" s="8"/>
      <c r="R27" s="8"/>
    </row>
    <row r="28" ht="15.75" customHeight="1">
      <c r="A28" s="4"/>
      <c r="B28" s="4"/>
      <c r="C28" s="4"/>
      <c r="D28" s="4"/>
      <c r="E28" s="4"/>
      <c r="F28" s="4"/>
      <c r="G28" s="4"/>
      <c r="H28" s="4"/>
      <c r="I28" s="4"/>
      <c r="J28" s="4"/>
      <c r="K28" s="4"/>
      <c r="L28" s="4"/>
      <c r="M28" s="4"/>
      <c r="N28" s="4"/>
      <c r="O28" s="4"/>
      <c r="P28" s="4"/>
      <c r="Q28" s="4"/>
      <c r="R28" s="4"/>
    </row>
    <row r="29" ht="15.75" customHeight="1">
      <c r="A29" s="8"/>
      <c r="B29" s="8"/>
      <c r="C29" s="8"/>
      <c r="D29" s="8"/>
      <c r="E29" s="8"/>
      <c r="F29" s="8"/>
      <c r="G29" s="8"/>
      <c r="H29" s="8"/>
      <c r="I29" s="8"/>
      <c r="J29" s="8"/>
      <c r="K29" s="8"/>
      <c r="L29" s="8"/>
      <c r="M29" s="8"/>
      <c r="N29" s="8"/>
      <c r="O29" s="8"/>
      <c r="P29" s="8"/>
      <c r="Q29" s="8"/>
      <c r="R29" s="8"/>
    </row>
    <row r="30" ht="15.75" customHeight="1">
      <c r="A30" s="4"/>
      <c r="B30" s="4"/>
      <c r="C30" s="4"/>
      <c r="D30" s="4"/>
      <c r="E30" s="4"/>
      <c r="F30" s="4"/>
      <c r="G30" s="4"/>
      <c r="H30" s="4"/>
      <c r="I30" s="4"/>
      <c r="J30" s="4"/>
      <c r="K30" s="4"/>
      <c r="L30" s="4"/>
      <c r="M30" s="4"/>
      <c r="N30" s="4"/>
      <c r="O30" s="4"/>
      <c r="P30" s="4"/>
      <c r="Q30" s="4"/>
      <c r="R30" s="4"/>
    </row>
    <row r="31" ht="15.75" customHeight="1">
      <c r="A31" s="8"/>
      <c r="B31" s="8"/>
      <c r="C31" s="8"/>
      <c r="D31" s="8"/>
      <c r="E31" s="8"/>
      <c r="F31" s="8"/>
      <c r="G31" s="8"/>
      <c r="H31" s="8"/>
      <c r="I31" s="8"/>
      <c r="J31" s="8"/>
      <c r="K31" s="8"/>
      <c r="L31" s="8"/>
      <c r="M31" s="8"/>
      <c r="N31" s="8"/>
      <c r="O31" s="8"/>
      <c r="P31" s="8"/>
      <c r="Q31" s="8"/>
      <c r="R31" s="8"/>
    </row>
    <row r="32" ht="15.75" customHeight="1">
      <c r="A32" s="4"/>
      <c r="B32" s="4"/>
      <c r="C32" s="4"/>
      <c r="D32" s="4"/>
      <c r="E32" s="4"/>
      <c r="F32" s="4"/>
      <c r="G32" s="4"/>
      <c r="H32" s="4"/>
      <c r="I32" s="4"/>
      <c r="J32" s="4"/>
      <c r="K32" s="4"/>
      <c r="L32" s="4"/>
      <c r="M32" s="4"/>
      <c r="N32" s="4"/>
      <c r="O32" s="4"/>
      <c r="P32" s="4"/>
      <c r="Q32" s="4"/>
      <c r="R32" s="4"/>
    </row>
    <row r="33" ht="15.75" customHeight="1">
      <c r="A33" s="8"/>
      <c r="B33" s="8"/>
      <c r="C33" s="8"/>
      <c r="D33" s="8"/>
      <c r="E33" s="8"/>
      <c r="F33" s="8"/>
      <c r="G33" s="8"/>
      <c r="H33" s="8"/>
      <c r="I33" s="8"/>
      <c r="J33" s="8"/>
      <c r="K33" s="8"/>
      <c r="L33" s="8"/>
      <c r="M33" s="8"/>
      <c r="N33" s="8"/>
      <c r="O33" s="8"/>
      <c r="P33" s="8"/>
      <c r="Q33" s="8"/>
      <c r="R33" s="8"/>
    </row>
    <row r="34" ht="15.75" customHeight="1">
      <c r="A34" s="4"/>
      <c r="B34" s="4"/>
      <c r="C34" s="4"/>
      <c r="D34" s="4"/>
      <c r="E34" s="4"/>
      <c r="F34" s="4"/>
      <c r="G34" s="4"/>
      <c r="H34" s="4"/>
      <c r="I34" s="4"/>
      <c r="J34" s="4"/>
      <c r="K34" s="4"/>
      <c r="L34" s="4"/>
      <c r="M34" s="4"/>
      <c r="N34" s="4"/>
      <c r="O34" s="4"/>
      <c r="P34" s="4"/>
      <c r="Q34" s="4"/>
      <c r="R34" s="4"/>
    </row>
    <row r="35" ht="15.75" customHeight="1">
      <c r="A35" s="8"/>
      <c r="B35" s="8"/>
      <c r="C35" s="8"/>
      <c r="D35" s="8"/>
      <c r="E35" s="8"/>
      <c r="F35" s="8"/>
      <c r="G35" s="8"/>
      <c r="H35" s="8"/>
      <c r="I35" s="8"/>
      <c r="J35" s="8"/>
      <c r="K35" s="8"/>
      <c r="L35" s="8"/>
      <c r="M35" s="8"/>
      <c r="N35" s="8"/>
      <c r="O35" s="8"/>
      <c r="P35" s="8"/>
      <c r="Q35" s="8"/>
      <c r="R35" s="8"/>
    </row>
    <row r="36" ht="15.75" customHeight="1">
      <c r="A36" s="4"/>
      <c r="B36" s="4"/>
      <c r="C36" s="4"/>
      <c r="D36" s="4"/>
      <c r="E36" s="4"/>
      <c r="F36" s="4"/>
      <c r="G36" s="4"/>
      <c r="H36" s="4"/>
      <c r="I36" s="4"/>
      <c r="J36" s="4"/>
      <c r="K36" s="4"/>
      <c r="L36" s="4"/>
      <c r="M36" s="4"/>
      <c r="N36" s="4"/>
      <c r="O36" s="4"/>
      <c r="P36" s="4"/>
      <c r="Q36" s="4"/>
      <c r="R36" s="4"/>
    </row>
    <row r="37" ht="15.75" customHeight="1">
      <c r="A37" s="8"/>
      <c r="B37" s="8"/>
      <c r="C37" s="8"/>
      <c r="D37" s="8"/>
      <c r="E37" s="8"/>
      <c r="F37" s="8"/>
      <c r="G37" s="8"/>
      <c r="H37" s="8"/>
      <c r="I37" s="8"/>
      <c r="J37" s="8"/>
      <c r="K37" s="8"/>
      <c r="L37" s="8"/>
      <c r="M37" s="8"/>
      <c r="N37" s="8"/>
      <c r="O37" s="8"/>
      <c r="P37" s="8"/>
      <c r="Q37" s="8"/>
      <c r="R37" s="8"/>
    </row>
    <row r="38" ht="15.75" customHeight="1">
      <c r="A38" s="4"/>
      <c r="B38" s="4"/>
      <c r="C38" s="4"/>
      <c r="D38" s="4"/>
      <c r="E38" s="4"/>
      <c r="F38" s="4"/>
      <c r="G38" s="4"/>
      <c r="H38" s="4"/>
      <c r="I38" s="4"/>
      <c r="J38" s="4"/>
      <c r="K38" s="4"/>
      <c r="L38" s="4"/>
      <c r="M38" s="4"/>
      <c r="N38" s="4"/>
      <c r="O38" s="4"/>
      <c r="P38" s="4"/>
      <c r="Q38" s="4"/>
      <c r="R38" s="4"/>
    </row>
    <row r="39" ht="15.75" customHeight="1">
      <c r="A39" s="8"/>
      <c r="B39" s="8"/>
      <c r="C39" s="8"/>
      <c r="D39" s="8"/>
      <c r="E39" s="8"/>
      <c r="F39" s="8"/>
      <c r="G39" s="8"/>
      <c r="H39" s="8"/>
      <c r="I39" s="8"/>
      <c r="J39" s="8"/>
      <c r="K39" s="8"/>
      <c r="L39" s="8"/>
      <c r="M39" s="8"/>
      <c r="N39" s="8"/>
      <c r="O39" s="8"/>
      <c r="P39" s="8"/>
      <c r="Q39" s="8"/>
      <c r="R39" s="8"/>
    </row>
    <row r="40" ht="15.75" customHeight="1">
      <c r="A40" s="4"/>
      <c r="B40" s="4"/>
      <c r="C40" s="4"/>
      <c r="D40" s="4"/>
      <c r="E40" s="4"/>
      <c r="F40" s="4"/>
      <c r="G40" s="4"/>
      <c r="H40" s="4"/>
      <c r="I40" s="4"/>
      <c r="J40" s="4"/>
      <c r="K40" s="4"/>
      <c r="L40" s="4"/>
      <c r="M40" s="4"/>
      <c r="N40" s="4"/>
      <c r="O40" s="4"/>
      <c r="P40" s="4"/>
      <c r="Q40" s="4"/>
      <c r="R40" s="4"/>
    </row>
    <row r="41" ht="15.75" customHeight="1">
      <c r="A41" s="8"/>
      <c r="B41" s="8"/>
      <c r="C41" s="8"/>
      <c r="D41" s="8"/>
      <c r="E41" s="8"/>
      <c r="F41" s="8"/>
      <c r="G41" s="8"/>
      <c r="H41" s="8"/>
      <c r="I41" s="8"/>
      <c r="J41" s="8"/>
      <c r="K41" s="8"/>
      <c r="L41" s="8"/>
      <c r="M41" s="8"/>
      <c r="N41" s="8"/>
      <c r="O41" s="8"/>
      <c r="P41" s="8"/>
      <c r="Q41" s="8"/>
      <c r="R41" s="8"/>
    </row>
    <row r="42" ht="15.75" customHeight="1">
      <c r="A42" s="4"/>
      <c r="B42" s="4"/>
      <c r="C42" s="4"/>
      <c r="D42" s="4"/>
      <c r="E42" s="4"/>
      <c r="F42" s="4"/>
      <c r="G42" s="4"/>
      <c r="H42" s="4"/>
      <c r="I42" s="4"/>
      <c r="J42" s="4"/>
      <c r="K42" s="4"/>
      <c r="L42" s="4"/>
      <c r="M42" s="4"/>
      <c r="N42" s="4"/>
      <c r="O42" s="4"/>
      <c r="P42" s="4"/>
      <c r="Q42" s="4"/>
      <c r="R42" s="4"/>
    </row>
    <row r="43" ht="15.75" customHeight="1">
      <c r="A43" s="8"/>
      <c r="B43" s="8"/>
      <c r="C43" s="8"/>
      <c r="D43" s="8"/>
      <c r="E43" s="8"/>
      <c r="F43" s="8"/>
      <c r="G43" s="8"/>
      <c r="H43" s="8"/>
      <c r="I43" s="8"/>
      <c r="J43" s="8"/>
      <c r="K43" s="8"/>
      <c r="L43" s="8"/>
      <c r="M43" s="8"/>
      <c r="N43" s="8"/>
      <c r="O43" s="8"/>
      <c r="P43" s="8"/>
      <c r="Q43" s="8"/>
      <c r="R43" s="8"/>
    </row>
    <row r="44" ht="15.75" customHeight="1">
      <c r="A44" s="4"/>
      <c r="B44" s="4"/>
      <c r="C44" s="4"/>
      <c r="D44" s="4"/>
      <c r="E44" s="4"/>
      <c r="F44" s="4"/>
      <c r="G44" s="4"/>
      <c r="H44" s="4"/>
      <c r="I44" s="4"/>
      <c r="J44" s="4"/>
      <c r="K44" s="4"/>
      <c r="L44" s="4"/>
      <c r="M44" s="4"/>
      <c r="N44" s="4"/>
      <c r="O44" s="4"/>
      <c r="P44" s="4"/>
      <c r="Q44" s="4"/>
      <c r="R44" s="4"/>
    </row>
    <row r="45" ht="15.75" customHeight="1">
      <c r="A45" s="8"/>
      <c r="B45" s="8"/>
      <c r="C45" s="8"/>
      <c r="D45" s="8"/>
      <c r="E45" s="8"/>
      <c r="F45" s="8"/>
      <c r="G45" s="8"/>
      <c r="H45" s="8"/>
      <c r="I45" s="8"/>
      <c r="J45" s="8"/>
      <c r="K45" s="8"/>
      <c r="L45" s="8"/>
      <c r="M45" s="8"/>
      <c r="N45" s="8"/>
      <c r="O45" s="8"/>
      <c r="P45" s="8"/>
      <c r="Q45" s="8"/>
      <c r="R45" s="8"/>
    </row>
    <row r="46" ht="15.75" customHeight="1">
      <c r="A46" s="4"/>
      <c r="B46" s="4"/>
      <c r="C46" s="4"/>
      <c r="D46" s="4"/>
      <c r="E46" s="4"/>
      <c r="F46" s="4"/>
      <c r="G46" s="4"/>
      <c r="H46" s="4"/>
      <c r="I46" s="4"/>
      <c r="J46" s="4"/>
      <c r="K46" s="4"/>
      <c r="L46" s="4"/>
      <c r="M46" s="4"/>
      <c r="N46" s="4"/>
      <c r="O46" s="4"/>
      <c r="P46" s="4"/>
      <c r="Q46" s="4"/>
      <c r="R46" s="4"/>
    </row>
    <row r="47" ht="15.75" customHeight="1">
      <c r="A47" s="8"/>
      <c r="B47" s="8"/>
      <c r="C47" s="8"/>
      <c r="D47" s="8"/>
      <c r="E47" s="8"/>
      <c r="F47" s="8"/>
      <c r="G47" s="8"/>
      <c r="H47" s="8"/>
      <c r="I47" s="8"/>
      <c r="J47" s="8"/>
      <c r="K47" s="8"/>
      <c r="L47" s="8"/>
      <c r="M47" s="8"/>
      <c r="N47" s="8"/>
      <c r="O47" s="8"/>
      <c r="P47" s="8"/>
      <c r="Q47" s="8"/>
      <c r="R47" s="8"/>
    </row>
    <row r="48" ht="15.75" customHeight="1">
      <c r="A48" s="4"/>
      <c r="B48" s="4"/>
      <c r="C48" s="4"/>
      <c r="D48" s="4"/>
      <c r="E48" s="4"/>
      <c r="F48" s="4"/>
      <c r="G48" s="4"/>
      <c r="H48" s="4"/>
      <c r="I48" s="4"/>
      <c r="J48" s="4"/>
      <c r="K48" s="4"/>
      <c r="L48" s="4"/>
      <c r="M48" s="4"/>
      <c r="N48" s="4"/>
      <c r="O48" s="4"/>
      <c r="P48" s="4"/>
      <c r="Q48" s="4"/>
      <c r="R48" s="4"/>
    </row>
    <row r="49" ht="15.75" customHeight="1">
      <c r="A49" s="8"/>
      <c r="B49" s="8"/>
      <c r="C49" s="8"/>
      <c r="D49" s="8"/>
      <c r="E49" s="8"/>
      <c r="F49" s="8"/>
      <c r="G49" s="8"/>
      <c r="H49" s="8"/>
      <c r="I49" s="8"/>
      <c r="J49" s="8"/>
      <c r="K49" s="8"/>
      <c r="L49" s="8"/>
      <c r="M49" s="8"/>
      <c r="N49" s="8"/>
      <c r="O49" s="8"/>
      <c r="P49" s="8"/>
      <c r="Q49" s="8"/>
      <c r="R49" s="8"/>
    </row>
    <row r="50" ht="15.75" customHeight="1">
      <c r="A50" s="4"/>
      <c r="B50" s="4"/>
      <c r="C50" s="4"/>
      <c r="D50" s="4"/>
      <c r="E50" s="4"/>
      <c r="F50" s="4"/>
      <c r="G50" s="4"/>
      <c r="H50" s="4"/>
      <c r="I50" s="4"/>
      <c r="J50" s="4"/>
      <c r="K50" s="4"/>
      <c r="L50" s="4"/>
      <c r="M50" s="4"/>
      <c r="N50" s="4"/>
      <c r="O50" s="4"/>
      <c r="P50" s="4"/>
      <c r="Q50" s="4"/>
      <c r="R50" s="4"/>
    </row>
    <row r="51" ht="15.75" customHeight="1">
      <c r="A51" s="8"/>
      <c r="B51" s="8"/>
      <c r="C51" s="8"/>
      <c r="D51" s="8"/>
      <c r="E51" s="8"/>
      <c r="F51" s="8"/>
      <c r="G51" s="8"/>
      <c r="H51" s="8"/>
      <c r="I51" s="8"/>
      <c r="J51" s="8"/>
      <c r="K51" s="8"/>
      <c r="L51" s="8"/>
      <c r="M51" s="8"/>
      <c r="N51" s="8"/>
      <c r="O51" s="8"/>
      <c r="P51" s="8"/>
      <c r="Q51" s="8"/>
      <c r="R51" s="8"/>
    </row>
    <row r="52" ht="15.75" customHeight="1">
      <c r="A52" s="4"/>
      <c r="B52" s="4"/>
      <c r="C52" s="4"/>
      <c r="D52" s="4"/>
      <c r="E52" s="4"/>
      <c r="F52" s="4"/>
      <c r="G52" s="4"/>
      <c r="H52" s="4"/>
      <c r="I52" s="4"/>
      <c r="J52" s="4"/>
      <c r="K52" s="4"/>
      <c r="L52" s="4"/>
      <c r="M52" s="4"/>
      <c r="N52" s="4"/>
      <c r="O52" s="4"/>
      <c r="P52" s="4"/>
      <c r="Q52" s="4"/>
      <c r="R52" s="4"/>
    </row>
    <row r="53" ht="15.75" customHeight="1">
      <c r="A53" s="8"/>
      <c r="B53" s="8"/>
      <c r="C53" s="8"/>
      <c r="D53" s="8"/>
      <c r="E53" s="8"/>
      <c r="F53" s="8"/>
      <c r="G53" s="8"/>
      <c r="H53" s="8"/>
      <c r="I53" s="8"/>
      <c r="J53" s="8"/>
      <c r="K53" s="8"/>
      <c r="L53" s="8"/>
      <c r="M53" s="8"/>
      <c r="N53" s="8"/>
      <c r="O53" s="8"/>
      <c r="P53" s="8"/>
      <c r="Q53" s="8"/>
      <c r="R53" s="8"/>
    </row>
    <row r="54" ht="15.75" customHeight="1">
      <c r="A54" s="4"/>
      <c r="B54" s="4"/>
      <c r="C54" s="4"/>
      <c r="D54" s="4"/>
      <c r="E54" s="4"/>
      <c r="F54" s="4"/>
      <c r="G54" s="4"/>
      <c r="H54" s="4"/>
      <c r="I54" s="4"/>
      <c r="J54" s="4"/>
      <c r="K54" s="4"/>
      <c r="L54" s="4"/>
      <c r="M54" s="4"/>
      <c r="N54" s="4"/>
      <c r="O54" s="4"/>
      <c r="P54" s="4"/>
      <c r="Q54" s="4"/>
      <c r="R54" s="4"/>
    </row>
    <row r="55" ht="15.75" customHeight="1">
      <c r="A55" s="8"/>
      <c r="B55" s="8"/>
      <c r="C55" s="8"/>
      <c r="D55" s="8"/>
      <c r="E55" s="8"/>
      <c r="F55" s="8"/>
      <c r="G55" s="8"/>
      <c r="H55" s="8"/>
      <c r="I55" s="8"/>
      <c r="J55" s="8"/>
      <c r="K55" s="8"/>
      <c r="L55" s="8"/>
      <c r="M55" s="8"/>
      <c r="N55" s="8"/>
      <c r="O55" s="8"/>
      <c r="P55" s="8"/>
      <c r="Q55" s="8"/>
      <c r="R55" s="8"/>
    </row>
    <row r="56" ht="15.75" customHeight="1">
      <c r="A56" s="4"/>
      <c r="B56" s="4"/>
      <c r="C56" s="4"/>
      <c r="D56" s="4"/>
      <c r="E56" s="4"/>
      <c r="F56" s="4"/>
      <c r="G56" s="4"/>
      <c r="H56" s="4"/>
      <c r="I56" s="4"/>
      <c r="J56" s="4"/>
      <c r="K56" s="4"/>
      <c r="L56" s="4"/>
      <c r="M56" s="4"/>
      <c r="N56" s="4"/>
      <c r="O56" s="4"/>
      <c r="P56" s="4"/>
      <c r="Q56" s="4"/>
      <c r="R56" s="4"/>
    </row>
    <row r="57" ht="15.75" customHeight="1">
      <c r="A57" s="8"/>
      <c r="B57" s="8"/>
      <c r="C57" s="8"/>
      <c r="D57" s="8"/>
      <c r="E57" s="8"/>
      <c r="F57" s="8"/>
      <c r="G57" s="8"/>
      <c r="H57" s="8"/>
      <c r="I57" s="8"/>
      <c r="J57" s="8"/>
      <c r="K57" s="8"/>
      <c r="L57" s="8"/>
      <c r="M57" s="8"/>
      <c r="N57" s="8"/>
      <c r="O57" s="8"/>
      <c r="P57" s="8"/>
      <c r="Q57" s="8"/>
      <c r="R57" s="8"/>
    </row>
    <row r="58" ht="15.75" customHeight="1">
      <c r="A58" s="4"/>
      <c r="B58" s="4"/>
      <c r="C58" s="4"/>
      <c r="D58" s="4"/>
      <c r="E58" s="4"/>
      <c r="F58" s="4"/>
      <c r="G58" s="4"/>
      <c r="H58" s="4"/>
      <c r="I58" s="4"/>
      <c r="J58" s="4"/>
      <c r="K58" s="4"/>
      <c r="L58" s="4"/>
      <c r="M58" s="4"/>
      <c r="N58" s="4"/>
      <c r="O58" s="4"/>
      <c r="P58" s="4"/>
      <c r="Q58" s="4"/>
      <c r="R58" s="4"/>
    </row>
    <row r="59" ht="15.75" customHeight="1">
      <c r="A59" s="8"/>
      <c r="B59" s="8"/>
      <c r="C59" s="8"/>
      <c r="D59" s="8"/>
      <c r="E59" s="8"/>
      <c r="F59" s="8"/>
      <c r="G59" s="8"/>
      <c r="H59" s="8"/>
      <c r="I59" s="8"/>
      <c r="J59" s="8"/>
      <c r="K59" s="8"/>
      <c r="L59" s="8"/>
      <c r="M59" s="8"/>
      <c r="N59" s="8"/>
      <c r="O59" s="8"/>
      <c r="P59" s="8"/>
      <c r="Q59" s="8"/>
      <c r="R59" s="8"/>
    </row>
    <row r="60" ht="15.75" customHeight="1">
      <c r="A60" s="4"/>
      <c r="B60" s="4"/>
      <c r="C60" s="4"/>
      <c r="D60" s="4"/>
      <c r="E60" s="4"/>
      <c r="F60" s="4"/>
      <c r="G60" s="4"/>
      <c r="H60" s="4"/>
      <c r="I60" s="4"/>
      <c r="J60" s="4"/>
      <c r="K60" s="4"/>
      <c r="L60" s="4"/>
      <c r="M60" s="4"/>
      <c r="N60" s="4"/>
      <c r="O60" s="4"/>
      <c r="P60" s="4"/>
      <c r="Q60" s="4"/>
      <c r="R60" s="4"/>
    </row>
    <row r="61" ht="15.75" customHeight="1">
      <c r="A61" s="8"/>
      <c r="B61" s="8"/>
      <c r="C61" s="8"/>
      <c r="D61" s="8"/>
      <c r="E61" s="8"/>
      <c r="F61" s="8"/>
      <c r="G61" s="8"/>
      <c r="H61" s="8"/>
      <c r="I61" s="8"/>
      <c r="J61" s="8"/>
      <c r="K61" s="8"/>
      <c r="L61" s="8"/>
      <c r="M61" s="8"/>
      <c r="N61" s="8"/>
      <c r="O61" s="8"/>
      <c r="P61" s="8"/>
      <c r="Q61" s="8"/>
      <c r="R61" s="8"/>
    </row>
    <row r="62" ht="15.75" customHeight="1">
      <c r="A62" s="4"/>
      <c r="B62" s="4"/>
      <c r="C62" s="4"/>
      <c r="D62" s="4"/>
      <c r="E62" s="4"/>
      <c r="F62" s="4"/>
      <c r="G62" s="4"/>
      <c r="H62" s="4"/>
      <c r="I62" s="4"/>
      <c r="J62" s="4"/>
      <c r="K62" s="4"/>
      <c r="L62" s="4"/>
      <c r="M62" s="4"/>
      <c r="N62" s="4"/>
      <c r="O62" s="4"/>
      <c r="P62" s="4"/>
      <c r="Q62" s="4"/>
      <c r="R62" s="4"/>
    </row>
    <row r="63" ht="15.75" customHeight="1">
      <c r="A63" s="8"/>
      <c r="B63" s="8"/>
      <c r="C63" s="8"/>
      <c r="D63" s="8"/>
      <c r="E63" s="8"/>
      <c r="F63" s="8"/>
      <c r="G63" s="8"/>
      <c r="H63" s="8"/>
      <c r="I63" s="8"/>
      <c r="J63" s="8"/>
      <c r="K63" s="8"/>
      <c r="L63" s="8"/>
      <c r="M63" s="8"/>
      <c r="N63" s="8"/>
      <c r="O63" s="8"/>
      <c r="P63" s="8"/>
      <c r="Q63" s="8"/>
      <c r="R63" s="8"/>
    </row>
    <row r="64" ht="15.75" customHeight="1">
      <c r="A64" s="4"/>
      <c r="B64" s="4"/>
      <c r="C64" s="4"/>
      <c r="D64" s="4"/>
      <c r="E64" s="4"/>
      <c r="F64" s="4"/>
      <c r="G64" s="4"/>
      <c r="H64" s="4"/>
      <c r="I64" s="4"/>
      <c r="J64" s="4"/>
      <c r="K64" s="4"/>
      <c r="L64" s="4"/>
      <c r="M64" s="4"/>
      <c r="N64" s="4"/>
      <c r="O64" s="4"/>
      <c r="P64" s="4"/>
      <c r="Q64" s="4"/>
      <c r="R64" s="4"/>
    </row>
    <row r="65" ht="15.75" customHeight="1">
      <c r="A65" s="8"/>
      <c r="B65" s="8"/>
      <c r="C65" s="8"/>
      <c r="D65" s="8"/>
      <c r="E65" s="8"/>
      <c r="F65" s="8"/>
      <c r="G65" s="8"/>
      <c r="H65" s="8"/>
      <c r="I65" s="8"/>
      <c r="J65" s="8"/>
      <c r="K65" s="8"/>
      <c r="L65" s="8"/>
      <c r="M65" s="8"/>
      <c r="N65" s="8"/>
      <c r="O65" s="8"/>
      <c r="P65" s="8"/>
      <c r="Q65" s="8"/>
      <c r="R65" s="8"/>
    </row>
    <row r="66" ht="15.75" customHeight="1">
      <c r="A66" s="4"/>
      <c r="B66" s="4"/>
      <c r="C66" s="4"/>
      <c r="D66" s="4"/>
      <c r="E66" s="4"/>
      <c r="F66" s="4"/>
      <c r="G66" s="4"/>
      <c r="H66" s="4"/>
      <c r="I66" s="4"/>
      <c r="J66" s="4"/>
      <c r="K66" s="4"/>
      <c r="L66" s="4"/>
      <c r="M66" s="4"/>
      <c r="N66" s="4"/>
      <c r="O66" s="4"/>
      <c r="P66" s="4"/>
      <c r="Q66" s="4"/>
      <c r="R66" s="4"/>
    </row>
    <row r="67" ht="15.75" customHeight="1">
      <c r="A67" s="8"/>
      <c r="B67" s="8"/>
      <c r="C67" s="8"/>
      <c r="D67" s="8"/>
      <c r="E67" s="8"/>
      <c r="F67" s="8"/>
      <c r="G67" s="8"/>
      <c r="H67" s="8"/>
      <c r="I67" s="8"/>
      <c r="J67" s="8"/>
      <c r="K67" s="8"/>
      <c r="L67" s="8"/>
      <c r="M67" s="8"/>
      <c r="N67" s="8"/>
      <c r="O67" s="8"/>
      <c r="P67" s="8"/>
      <c r="Q67" s="8"/>
      <c r="R67" s="8"/>
    </row>
    <row r="68" ht="15.75" customHeight="1">
      <c r="A68" s="4"/>
      <c r="B68" s="4"/>
      <c r="C68" s="4"/>
      <c r="D68" s="4"/>
      <c r="E68" s="4"/>
      <c r="F68" s="4"/>
      <c r="G68" s="4"/>
      <c r="H68" s="4"/>
      <c r="I68" s="4"/>
      <c r="J68" s="4"/>
      <c r="K68" s="4"/>
      <c r="L68" s="4"/>
      <c r="M68" s="4"/>
      <c r="N68" s="4"/>
      <c r="O68" s="4"/>
      <c r="P68" s="4"/>
      <c r="Q68" s="4"/>
      <c r="R68" s="4"/>
    </row>
    <row r="69" ht="15.75" customHeight="1">
      <c r="A69" s="8"/>
      <c r="B69" s="8"/>
      <c r="C69" s="8"/>
      <c r="D69" s="8"/>
      <c r="E69" s="8"/>
      <c r="F69" s="8"/>
      <c r="G69" s="8"/>
      <c r="H69" s="8"/>
      <c r="I69" s="8"/>
      <c r="J69" s="8"/>
      <c r="K69" s="8"/>
      <c r="L69" s="8"/>
      <c r="M69" s="8"/>
      <c r="N69" s="8"/>
      <c r="O69" s="8"/>
      <c r="P69" s="8"/>
      <c r="Q69" s="8"/>
      <c r="R69" s="8"/>
    </row>
    <row r="70" ht="15.75" customHeight="1">
      <c r="A70" s="4"/>
      <c r="B70" s="4"/>
      <c r="C70" s="4"/>
      <c r="D70" s="4"/>
      <c r="E70" s="4"/>
      <c r="F70" s="4"/>
      <c r="G70" s="4"/>
      <c r="H70" s="4"/>
      <c r="I70" s="4"/>
      <c r="J70" s="4"/>
      <c r="K70" s="4"/>
      <c r="L70" s="4"/>
      <c r="M70" s="4"/>
      <c r="N70" s="4"/>
      <c r="O70" s="4"/>
      <c r="P70" s="4"/>
      <c r="Q70" s="4"/>
      <c r="R70" s="4"/>
    </row>
    <row r="71" ht="15.75" customHeight="1">
      <c r="A71" s="8"/>
      <c r="B71" s="8"/>
      <c r="C71" s="8"/>
      <c r="D71" s="8"/>
      <c r="E71" s="8"/>
      <c r="F71" s="8"/>
      <c r="G71" s="8"/>
      <c r="H71" s="8"/>
      <c r="I71" s="8"/>
      <c r="J71" s="8"/>
      <c r="K71" s="8"/>
      <c r="L71" s="8"/>
      <c r="M71" s="8"/>
      <c r="N71" s="8"/>
      <c r="O71" s="8"/>
      <c r="P71" s="8"/>
      <c r="Q71" s="8"/>
      <c r="R71" s="8"/>
    </row>
    <row r="72" ht="15.75" customHeight="1">
      <c r="A72" s="4"/>
      <c r="B72" s="4"/>
      <c r="C72" s="4"/>
      <c r="D72" s="4"/>
      <c r="E72" s="4"/>
      <c r="F72" s="4"/>
      <c r="G72" s="4"/>
      <c r="H72" s="4"/>
      <c r="I72" s="4"/>
      <c r="J72" s="4"/>
      <c r="K72" s="4"/>
      <c r="L72" s="4"/>
      <c r="M72" s="4"/>
      <c r="N72" s="4"/>
      <c r="O72" s="4"/>
      <c r="P72" s="4"/>
      <c r="Q72" s="4"/>
      <c r="R72" s="4"/>
    </row>
    <row r="73" ht="15.75" customHeight="1">
      <c r="A73" s="8"/>
      <c r="B73" s="8"/>
      <c r="C73" s="8"/>
      <c r="D73" s="8"/>
      <c r="E73" s="8"/>
      <c r="F73" s="8"/>
      <c r="G73" s="8"/>
      <c r="H73" s="8"/>
      <c r="I73" s="8"/>
      <c r="J73" s="8"/>
      <c r="K73" s="8"/>
      <c r="L73" s="8"/>
      <c r="M73" s="8"/>
      <c r="N73" s="8"/>
      <c r="O73" s="8"/>
      <c r="P73" s="8"/>
      <c r="Q73" s="8"/>
      <c r="R73" s="8"/>
    </row>
    <row r="74" ht="15.75" customHeight="1">
      <c r="A74" s="4"/>
      <c r="B74" s="4"/>
      <c r="C74" s="4"/>
      <c r="D74" s="4"/>
      <c r="E74" s="4"/>
      <c r="F74" s="4"/>
      <c r="G74" s="4"/>
      <c r="H74" s="4"/>
      <c r="I74" s="4"/>
      <c r="J74" s="4"/>
      <c r="K74" s="4"/>
      <c r="L74" s="4"/>
      <c r="M74" s="4"/>
      <c r="N74" s="4"/>
      <c r="O74" s="4"/>
      <c r="P74" s="4"/>
      <c r="Q74" s="4"/>
      <c r="R74" s="4"/>
    </row>
    <row r="75" ht="15.75" customHeight="1">
      <c r="A75" s="8"/>
      <c r="B75" s="8"/>
      <c r="C75" s="8"/>
      <c r="D75" s="8"/>
      <c r="E75" s="8"/>
      <c r="F75" s="8"/>
      <c r="G75" s="8"/>
      <c r="H75" s="8"/>
      <c r="I75" s="8"/>
      <c r="J75" s="8"/>
      <c r="K75" s="8"/>
      <c r="L75" s="8"/>
      <c r="M75" s="8"/>
      <c r="N75" s="8"/>
      <c r="O75" s="8"/>
      <c r="P75" s="8"/>
      <c r="Q75" s="8"/>
      <c r="R75" s="8"/>
    </row>
    <row r="76" ht="15.75" customHeight="1">
      <c r="A76" s="4"/>
      <c r="B76" s="4"/>
      <c r="C76" s="4"/>
      <c r="D76" s="4"/>
      <c r="E76" s="4"/>
      <c r="F76" s="4"/>
      <c r="G76" s="4"/>
      <c r="H76" s="4"/>
      <c r="I76" s="4"/>
      <c r="J76" s="4"/>
      <c r="K76" s="4"/>
      <c r="L76" s="4"/>
      <c r="M76" s="4"/>
      <c r="N76" s="4"/>
      <c r="O76" s="4"/>
      <c r="P76" s="4"/>
      <c r="Q76" s="4"/>
      <c r="R76" s="4"/>
    </row>
    <row r="77" ht="15.75" customHeight="1">
      <c r="A77" s="8"/>
      <c r="B77" s="8"/>
      <c r="C77" s="8"/>
      <c r="D77" s="8"/>
      <c r="E77" s="8"/>
      <c r="F77" s="8"/>
      <c r="G77" s="8"/>
      <c r="H77" s="8"/>
      <c r="I77" s="8"/>
      <c r="J77" s="8"/>
      <c r="K77" s="8"/>
      <c r="L77" s="8"/>
      <c r="M77" s="8"/>
      <c r="N77" s="8"/>
      <c r="O77" s="8"/>
      <c r="P77" s="8"/>
      <c r="Q77" s="8"/>
      <c r="R77" s="8"/>
    </row>
    <row r="78" ht="15.75" customHeight="1">
      <c r="A78" s="4"/>
      <c r="B78" s="4"/>
      <c r="C78" s="4"/>
      <c r="D78" s="4"/>
      <c r="E78" s="4"/>
      <c r="F78" s="4"/>
      <c r="G78" s="4"/>
      <c r="H78" s="4"/>
      <c r="I78" s="4"/>
      <c r="J78" s="4"/>
      <c r="K78" s="4"/>
      <c r="L78" s="4"/>
      <c r="M78" s="4"/>
      <c r="N78" s="4"/>
      <c r="O78" s="4"/>
      <c r="P78" s="4"/>
      <c r="Q78" s="4"/>
      <c r="R78" s="4"/>
    </row>
    <row r="79" ht="15.75" customHeight="1">
      <c r="A79" s="8"/>
      <c r="B79" s="8"/>
      <c r="C79" s="8"/>
      <c r="D79" s="8"/>
      <c r="E79" s="8"/>
      <c r="F79" s="8"/>
      <c r="G79" s="8"/>
      <c r="H79" s="8"/>
      <c r="I79" s="8"/>
      <c r="J79" s="8"/>
      <c r="K79" s="8"/>
      <c r="L79" s="8"/>
      <c r="M79" s="8"/>
      <c r="N79" s="8"/>
      <c r="O79" s="8"/>
      <c r="P79" s="8"/>
      <c r="Q79" s="8"/>
      <c r="R79" s="8"/>
    </row>
    <row r="80" ht="15.75" customHeight="1">
      <c r="A80" s="4"/>
      <c r="B80" s="4"/>
      <c r="C80" s="4"/>
      <c r="D80" s="4"/>
      <c r="E80" s="4"/>
      <c r="F80" s="4"/>
      <c r="G80" s="4"/>
      <c r="H80" s="4"/>
      <c r="I80" s="4"/>
      <c r="J80" s="4"/>
      <c r="K80" s="4"/>
      <c r="L80" s="4"/>
      <c r="M80" s="4"/>
      <c r="N80" s="4"/>
      <c r="O80" s="4"/>
      <c r="P80" s="4"/>
      <c r="Q80" s="4"/>
      <c r="R80" s="4"/>
    </row>
    <row r="81" ht="15.75" customHeight="1">
      <c r="A81" s="8"/>
      <c r="B81" s="8"/>
      <c r="C81" s="8"/>
      <c r="D81" s="8"/>
      <c r="E81" s="8"/>
      <c r="F81" s="8"/>
      <c r="G81" s="8"/>
      <c r="H81" s="8"/>
      <c r="I81" s="8"/>
      <c r="J81" s="8"/>
      <c r="K81" s="8"/>
      <c r="L81" s="8"/>
      <c r="M81" s="8"/>
      <c r="N81" s="8"/>
      <c r="O81" s="8"/>
      <c r="P81" s="8"/>
      <c r="Q81" s="8"/>
      <c r="R81" s="8"/>
    </row>
    <row r="82" ht="15.75" customHeight="1">
      <c r="A82" s="4"/>
      <c r="B82" s="4"/>
      <c r="C82" s="4"/>
      <c r="D82" s="4"/>
      <c r="E82" s="4"/>
      <c r="F82" s="4"/>
      <c r="G82" s="4"/>
      <c r="H82" s="4"/>
      <c r="I82" s="4"/>
      <c r="J82" s="4"/>
      <c r="K82" s="4"/>
      <c r="L82" s="4"/>
      <c r="M82" s="4"/>
      <c r="N82" s="4"/>
      <c r="O82" s="4"/>
      <c r="P82" s="4"/>
      <c r="Q82" s="4"/>
      <c r="R82" s="4"/>
    </row>
    <row r="83" ht="15.75" customHeight="1">
      <c r="A83" s="8"/>
      <c r="B83" s="8"/>
      <c r="C83" s="8"/>
      <c r="D83" s="8"/>
      <c r="E83" s="8"/>
      <c r="F83" s="8"/>
      <c r="G83" s="8"/>
      <c r="H83" s="8"/>
      <c r="I83" s="8"/>
      <c r="J83" s="8"/>
      <c r="K83" s="8"/>
      <c r="L83" s="8"/>
      <c r="M83" s="8"/>
      <c r="N83" s="8"/>
      <c r="O83" s="8"/>
      <c r="P83" s="8"/>
      <c r="Q83" s="8"/>
      <c r="R83" s="8"/>
    </row>
    <row r="84" ht="15.75" customHeight="1">
      <c r="A84" s="4"/>
      <c r="B84" s="4"/>
      <c r="C84" s="4"/>
      <c r="D84" s="4"/>
      <c r="E84" s="4"/>
      <c r="F84" s="4"/>
      <c r="G84" s="4"/>
      <c r="H84" s="4"/>
      <c r="I84" s="4"/>
      <c r="J84" s="4"/>
      <c r="K84" s="4"/>
      <c r="L84" s="4"/>
      <c r="M84" s="4"/>
      <c r="N84" s="4"/>
      <c r="O84" s="4"/>
      <c r="P84" s="4"/>
      <c r="Q84" s="4"/>
      <c r="R84" s="4"/>
    </row>
    <row r="85" ht="15.75" customHeight="1">
      <c r="A85" s="8"/>
      <c r="B85" s="8"/>
      <c r="C85" s="8"/>
      <c r="D85" s="8"/>
      <c r="E85" s="8"/>
      <c r="F85" s="8"/>
      <c r="G85" s="8"/>
      <c r="H85" s="8"/>
      <c r="I85" s="8"/>
      <c r="J85" s="8"/>
      <c r="K85" s="8"/>
      <c r="L85" s="8"/>
      <c r="M85" s="8"/>
      <c r="N85" s="8"/>
      <c r="O85" s="8"/>
      <c r="P85" s="8"/>
      <c r="Q85" s="8"/>
      <c r="R85" s="8"/>
    </row>
    <row r="86" ht="15.75" customHeight="1">
      <c r="A86" s="4"/>
      <c r="B86" s="4"/>
      <c r="C86" s="4"/>
      <c r="D86" s="4"/>
      <c r="E86" s="4"/>
      <c r="F86" s="4"/>
      <c r="G86" s="4"/>
      <c r="H86" s="4"/>
      <c r="I86" s="4"/>
      <c r="J86" s="4"/>
      <c r="K86" s="4"/>
      <c r="L86" s="4"/>
      <c r="M86" s="4"/>
      <c r="N86" s="4"/>
      <c r="O86" s="4"/>
      <c r="P86" s="4"/>
      <c r="Q86" s="4"/>
      <c r="R86" s="4"/>
    </row>
    <row r="87" ht="15.75" customHeight="1">
      <c r="A87" s="8"/>
      <c r="B87" s="8"/>
      <c r="C87" s="8"/>
      <c r="D87" s="8"/>
      <c r="E87" s="8"/>
      <c r="F87" s="8"/>
      <c r="G87" s="8"/>
      <c r="H87" s="8"/>
      <c r="I87" s="8"/>
      <c r="J87" s="8"/>
      <c r="K87" s="8"/>
      <c r="L87" s="8"/>
      <c r="M87" s="8"/>
      <c r="N87" s="8"/>
      <c r="O87" s="8"/>
      <c r="P87" s="8"/>
      <c r="Q87" s="8"/>
      <c r="R87" s="8"/>
    </row>
    <row r="88" ht="15.75" customHeight="1">
      <c r="A88" s="4"/>
      <c r="B88" s="4"/>
      <c r="C88" s="4"/>
      <c r="D88" s="4"/>
      <c r="E88" s="4"/>
      <c r="F88" s="4"/>
      <c r="G88" s="4"/>
      <c r="H88" s="4"/>
      <c r="I88" s="4"/>
      <c r="J88" s="4"/>
      <c r="K88" s="4"/>
      <c r="L88" s="4"/>
      <c r="M88" s="4"/>
      <c r="N88" s="4"/>
      <c r="O88" s="4"/>
      <c r="P88" s="4"/>
      <c r="Q88" s="4"/>
      <c r="R88" s="4"/>
    </row>
    <row r="89" ht="15.75" customHeight="1">
      <c r="A89" s="8"/>
      <c r="B89" s="8"/>
      <c r="C89" s="8"/>
      <c r="D89" s="8"/>
      <c r="E89" s="8"/>
      <c r="F89" s="8"/>
      <c r="G89" s="8"/>
      <c r="H89" s="8"/>
      <c r="I89" s="8"/>
      <c r="J89" s="8"/>
      <c r="K89" s="8"/>
      <c r="L89" s="8"/>
      <c r="M89" s="8"/>
      <c r="N89" s="8"/>
      <c r="O89" s="8"/>
      <c r="P89" s="8"/>
      <c r="Q89" s="8"/>
      <c r="R89" s="8"/>
    </row>
    <row r="90" ht="15.75" customHeight="1">
      <c r="A90" s="4"/>
      <c r="B90" s="4"/>
      <c r="C90" s="4"/>
      <c r="D90" s="4"/>
      <c r="E90" s="4"/>
      <c r="F90" s="4"/>
      <c r="G90" s="4"/>
      <c r="H90" s="4"/>
      <c r="I90" s="4"/>
      <c r="J90" s="4"/>
      <c r="K90" s="4"/>
      <c r="L90" s="4"/>
      <c r="M90" s="4"/>
      <c r="N90" s="4"/>
      <c r="O90" s="4"/>
      <c r="P90" s="4"/>
      <c r="Q90" s="4"/>
      <c r="R90" s="4"/>
    </row>
    <row r="91" ht="15.75" customHeight="1">
      <c r="A91" s="8"/>
      <c r="B91" s="8"/>
      <c r="C91" s="8"/>
      <c r="D91" s="8"/>
      <c r="E91" s="8"/>
      <c r="F91" s="8"/>
      <c r="G91" s="8"/>
      <c r="H91" s="8"/>
      <c r="I91" s="8"/>
      <c r="J91" s="8"/>
      <c r="K91" s="8"/>
      <c r="L91" s="8"/>
      <c r="M91" s="8"/>
      <c r="N91" s="8"/>
      <c r="O91" s="8"/>
      <c r="P91" s="8"/>
      <c r="Q91" s="8"/>
      <c r="R91" s="8"/>
    </row>
    <row r="92" ht="15.75" customHeight="1">
      <c r="A92" s="4"/>
      <c r="B92" s="4"/>
      <c r="C92" s="4"/>
      <c r="D92" s="4"/>
      <c r="E92" s="4"/>
      <c r="F92" s="4"/>
      <c r="G92" s="4"/>
      <c r="H92" s="4"/>
      <c r="I92" s="4"/>
      <c r="J92" s="4"/>
      <c r="K92" s="4"/>
      <c r="L92" s="4"/>
      <c r="M92" s="4"/>
      <c r="N92" s="4"/>
      <c r="O92" s="4"/>
      <c r="P92" s="4"/>
      <c r="Q92" s="4"/>
      <c r="R92" s="4"/>
    </row>
    <row r="93" ht="15.75" customHeight="1">
      <c r="A93" s="8"/>
      <c r="B93" s="8"/>
      <c r="C93" s="8"/>
      <c r="D93" s="8"/>
      <c r="E93" s="8"/>
      <c r="F93" s="8"/>
      <c r="G93" s="8"/>
      <c r="H93" s="8"/>
      <c r="I93" s="8"/>
      <c r="J93" s="8"/>
      <c r="K93" s="8"/>
      <c r="L93" s="8"/>
      <c r="M93" s="8"/>
      <c r="N93" s="8"/>
      <c r="O93" s="8"/>
      <c r="P93" s="8"/>
      <c r="Q93" s="8"/>
      <c r="R93" s="8"/>
    </row>
    <row r="94" ht="15.75" customHeight="1">
      <c r="A94" s="4"/>
      <c r="B94" s="4"/>
      <c r="C94" s="4"/>
      <c r="D94" s="4"/>
      <c r="E94" s="4"/>
      <c r="F94" s="4"/>
      <c r="G94" s="4"/>
      <c r="H94" s="4"/>
      <c r="I94" s="4"/>
      <c r="J94" s="4"/>
      <c r="K94" s="4"/>
      <c r="L94" s="4"/>
      <c r="M94" s="4"/>
      <c r="N94" s="4"/>
      <c r="O94" s="4"/>
      <c r="P94" s="4"/>
      <c r="Q94" s="4"/>
      <c r="R94" s="4"/>
    </row>
    <row r="95" ht="15.75" customHeight="1">
      <c r="A95" s="8"/>
      <c r="B95" s="8"/>
      <c r="C95" s="8"/>
      <c r="D95" s="8"/>
      <c r="E95" s="8"/>
      <c r="F95" s="8"/>
      <c r="G95" s="8"/>
      <c r="H95" s="8"/>
      <c r="I95" s="8"/>
      <c r="J95" s="8"/>
      <c r="K95" s="8"/>
      <c r="L95" s="8"/>
      <c r="M95" s="8"/>
      <c r="N95" s="8"/>
      <c r="O95" s="8"/>
      <c r="P95" s="8"/>
      <c r="Q95" s="8"/>
      <c r="R95" s="8"/>
    </row>
    <row r="96" ht="15.75" customHeight="1">
      <c r="A96" s="4"/>
      <c r="B96" s="4"/>
      <c r="C96" s="4"/>
      <c r="D96" s="4"/>
      <c r="E96" s="4"/>
      <c r="F96" s="4"/>
      <c r="G96" s="4"/>
      <c r="H96" s="4"/>
      <c r="I96" s="4"/>
      <c r="J96" s="4"/>
      <c r="K96" s="4"/>
      <c r="L96" s="4"/>
      <c r="M96" s="4"/>
      <c r="N96" s="4"/>
      <c r="O96" s="4"/>
      <c r="P96" s="4"/>
      <c r="Q96" s="4"/>
      <c r="R96" s="4"/>
    </row>
    <row r="97" ht="15.75" customHeight="1">
      <c r="A97" s="8"/>
      <c r="B97" s="8"/>
      <c r="C97" s="8"/>
      <c r="D97" s="8"/>
      <c r="E97" s="8"/>
      <c r="F97" s="8"/>
      <c r="G97" s="8"/>
      <c r="H97" s="8"/>
      <c r="I97" s="8"/>
      <c r="J97" s="8"/>
      <c r="K97" s="8"/>
      <c r="L97" s="8"/>
      <c r="M97" s="8"/>
      <c r="N97" s="8"/>
      <c r="O97" s="8"/>
      <c r="P97" s="8"/>
      <c r="Q97" s="8"/>
      <c r="R97" s="8"/>
    </row>
    <row r="98" ht="15.75" customHeight="1">
      <c r="A98" s="4"/>
      <c r="B98" s="4"/>
      <c r="C98" s="4"/>
      <c r="D98" s="4"/>
      <c r="E98" s="4"/>
      <c r="F98" s="4"/>
      <c r="G98" s="4"/>
      <c r="H98" s="4"/>
      <c r="I98" s="4"/>
      <c r="J98" s="4"/>
      <c r="K98" s="4"/>
      <c r="L98" s="4"/>
      <c r="M98" s="4"/>
      <c r="N98" s="4"/>
      <c r="O98" s="4"/>
      <c r="P98" s="4"/>
      <c r="Q98" s="4"/>
      <c r="R98" s="4"/>
    </row>
    <row r="99" ht="15.75" customHeight="1">
      <c r="A99" s="8"/>
      <c r="B99" s="8"/>
      <c r="C99" s="8"/>
      <c r="D99" s="8"/>
      <c r="E99" s="8"/>
      <c r="F99" s="8"/>
      <c r="G99" s="8"/>
      <c r="H99" s="8"/>
      <c r="I99" s="8"/>
      <c r="J99" s="8"/>
      <c r="K99" s="8"/>
      <c r="L99" s="8"/>
      <c r="M99" s="8"/>
      <c r="N99" s="8"/>
      <c r="O99" s="8"/>
      <c r="P99" s="8"/>
      <c r="Q99" s="8"/>
      <c r="R99" s="8"/>
    </row>
    <row r="100" ht="15.75" customHeight="1">
      <c r="A100" s="4"/>
      <c r="B100" s="4"/>
      <c r="C100" s="4"/>
      <c r="D100" s="4"/>
      <c r="E100" s="4"/>
      <c r="F100" s="4"/>
      <c r="G100" s="4"/>
      <c r="H100" s="4"/>
      <c r="I100" s="4"/>
      <c r="J100" s="4"/>
      <c r="K100" s="4"/>
      <c r="L100" s="4"/>
      <c r="M100" s="4"/>
      <c r="N100" s="4"/>
      <c r="O100" s="4"/>
      <c r="P100" s="4"/>
      <c r="Q100" s="4"/>
      <c r="R100" s="4"/>
    </row>
    <row r="101" ht="15.75" customHeight="1">
      <c r="E101" s="18"/>
      <c r="G101" s="18"/>
      <c r="H101" s="18"/>
      <c r="M101" s="18"/>
      <c r="P101" s="18"/>
    </row>
    <row r="102" ht="15.75" customHeight="1">
      <c r="E102" s="18"/>
      <c r="G102" s="18"/>
      <c r="H102" s="18"/>
      <c r="M102" s="18"/>
      <c r="P102" s="18"/>
    </row>
    <row r="103" ht="15.75" customHeight="1">
      <c r="E103" s="18"/>
      <c r="G103" s="18"/>
      <c r="H103" s="18"/>
      <c r="M103" s="18"/>
      <c r="P103" s="18"/>
    </row>
    <row r="104" ht="15.75" customHeight="1">
      <c r="E104" s="18"/>
      <c r="G104" s="18"/>
      <c r="H104" s="18"/>
      <c r="M104" s="18"/>
      <c r="P104" s="18"/>
    </row>
    <row r="105" ht="15.75" customHeight="1">
      <c r="E105" s="18"/>
      <c r="G105" s="18"/>
      <c r="H105" s="18"/>
      <c r="M105" s="18"/>
      <c r="P105" s="18"/>
    </row>
    <row r="106" ht="15.75" customHeight="1">
      <c r="E106" s="18"/>
      <c r="G106" s="18"/>
      <c r="H106" s="18"/>
      <c r="M106" s="18"/>
      <c r="P106" s="18"/>
    </row>
    <row r="107" ht="15.75" customHeight="1">
      <c r="E107" s="18"/>
      <c r="G107" s="18"/>
      <c r="H107" s="18"/>
      <c r="M107" s="18"/>
      <c r="P107" s="18"/>
    </row>
    <row r="108" ht="15.75" customHeight="1">
      <c r="G108" s="18"/>
      <c r="H108" s="18"/>
      <c r="M108" s="18"/>
      <c r="P108" s="18"/>
    </row>
    <row r="109" ht="15.75" customHeight="1">
      <c r="G109" s="18"/>
      <c r="H109" s="18"/>
      <c r="M109" s="18"/>
      <c r="P109" s="18"/>
    </row>
    <row r="110" ht="15.75" customHeight="1">
      <c r="G110" s="18"/>
      <c r="H110" s="18"/>
      <c r="M110" s="18"/>
      <c r="P110" s="18"/>
    </row>
    <row r="111" ht="15.75" customHeight="1">
      <c r="G111" s="18"/>
      <c r="H111" s="18"/>
      <c r="M111" s="18"/>
      <c r="P111" s="18"/>
    </row>
    <row r="112" ht="15.75" customHeight="1">
      <c r="G112" s="18"/>
      <c r="H112" s="18"/>
      <c r="M112" s="18"/>
      <c r="P112" s="18"/>
    </row>
    <row r="113" ht="15.75" customHeight="1">
      <c r="G113" s="18"/>
      <c r="H113" s="18"/>
      <c r="M113" s="18"/>
      <c r="P113" s="18"/>
    </row>
    <row r="114" ht="15.75" customHeight="1">
      <c r="G114" s="18"/>
      <c r="H114" s="18"/>
      <c r="M114" s="18"/>
      <c r="P114" s="18"/>
    </row>
    <row r="115" ht="15.75" customHeight="1">
      <c r="G115" s="18"/>
      <c r="H115" s="18"/>
      <c r="M115" s="18"/>
      <c r="P115" s="18"/>
    </row>
    <row r="116" ht="15.75" customHeight="1">
      <c r="G116" s="18"/>
      <c r="H116" s="18"/>
      <c r="M116" s="18"/>
      <c r="P116" s="18"/>
    </row>
    <row r="117" ht="15.75" customHeight="1">
      <c r="G117" s="18"/>
      <c r="H117" s="18"/>
      <c r="M117" s="18"/>
      <c r="P117" s="18"/>
    </row>
    <row r="118" ht="15.75" customHeight="1">
      <c r="G118" s="18"/>
      <c r="H118" s="18"/>
      <c r="M118" s="18"/>
      <c r="P118" s="18"/>
    </row>
    <row r="119" ht="15.75" customHeight="1">
      <c r="G119" s="18"/>
      <c r="H119" s="18"/>
      <c r="M119" s="18"/>
      <c r="P119" s="18"/>
    </row>
    <row r="120" ht="15.75" customHeight="1">
      <c r="G120" s="18"/>
      <c r="H120" s="18"/>
      <c r="M120" s="18"/>
      <c r="P120" s="18"/>
    </row>
    <row r="121" ht="15.75" customHeight="1">
      <c r="G121" s="18"/>
      <c r="H121" s="18"/>
      <c r="M121" s="18"/>
      <c r="P121" s="18"/>
    </row>
    <row r="122" ht="15.75" customHeight="1">
      <c r="G122" s="18"/>
      <c r="H122" s="18"/>
      <c r="M122" s="18"/>
      <c r="P122" s="18"/>
    </row>
    <row r="123" ht="15.75" customHeight="1">
      <c r="G123" s="18"/>
      <c r="H123" s="18"/>
      <c r="M123" s="18"/>
      <c r="P123" s="18"/>
    </row>
    <row r="124" ht="15.75" customHeight="1">
      <c r="G124" s="18"/>
      <c r="H124" s="18"/>
      <c r="M124" s="18"/>
      <c r="P124" s="18"/>
    </row>
    <row r="125" ht="15.75" customHeight="1">
      <c r="G125" s="18"/>
      <c r="H125" s="18"/>
      <c r="M125" s="18"/>
      <c r="P125" s="18"/>
    </row>
    <row r="126" ht="15.75" customHeight="1">
      <c r="G126" s="18"/>
      <c r="H126" s="18"/>
      <c r="M126" s="18"/>
      <c r="P126" s="18"/>
    </row>
    <row r="127" ht="15.75" customHeight="1">
      <c r="G127" s="18"/>
      <c r="H127" s="18"/>
      <c r="M127" s="18"/>
      <c r="P127" s="18"/>
    </row>
    <row r="128" ht="15.75" customHeight="1">
      <c r="G128" s="18"/>
      <c r="H128" s="18"/>
      <c r="M128" s="18"/>
      <c r="P128" s="18"/>
    </row>
    <row r="129" ht="15.75" customHeight="1">
      <c r="G129" s="18"/>
      <c r="H129" s="18"/>
      <c r="M129" s="18"/>
      <c r="P129" s="18"/>
    </row>
    <row r="130" ht="15.75" customHeight="1">
      <c r="G130" s="18"/>
      <c r="H130" s="18"/>
      <c r="M130" s="18"/>
      <c r="P130" s="18"/>
    </row>
    <row r="131" ht="15.75" customHeight="1">
      <c r="G131" s="18"/>
      <c r="H131" s="18"/>
      <c r="M131" s="18"/>
      <c r="P131" s="18"/>
    </row>
    <row r="132" ht="15.75" customHeight="1">
      <c r="G132" s="18"/>
      <c r="H132" s="18"/>
      <c r="M132" s="18"/>
      <c r="P132" s="18"/>
    </row>
    <row r="133" ht="15.75" customHeight="1">
      <c r="G133" s="18"/>
      <c r="H133" s="18"/>
      <c r="M133" s="18"/>
      <c r="P133" s="18"/>
    </row>
    <row r="134" ht="15.75" customHeight="1">
      <c r="G134" s="18"/>
      <c r="H134" s="18"/>
      <c r="M134" s="18"/>
      <c r="P134" s="18"/>
    </row>
    <row r="135" ht="15.75" customHeight="1">
      <c r="G135" s="18"/>
      <c r="H135" s="18"/>
      <c r="M135" s="18"/>
      <c r="P135" s="18"/>
    </row>
    <row r="136" ht="15.75" customHeight="1">
      <c r="G136" s="18"/>
      <c r="H136" s="18"/>
      <c r="M136" s="18"/>
      <c r="P136" s="18"/>
    </row>
    <row r="137" ht="15.75" customHeight="1">
      <c r="G137" s="18"/>
      <c r="H137" s="18"/>
      <c r="M137" s="18"/>
      <c r="P137" s="18"/>
    </row>
    <row r="138" ht="15.75" customHeight="1">
      <c r="G138" s="18"/>
      <c r="H138" s="18"/>
      <c r="M138" s="18"/>
      <c r="P138" s="18"/>
    </row>
    <row r="139" ht="15.75" customHeight="1">
      <c r="G139" s="18"/>
      <c r="H139" s="18"/>
      <c r="M139" s="18"/>
      <c r="P139" s="18"/>
    </row>
    <row r="140" ht="15.75" customHeight="1">
      <c r="G140" s="18"/>
      <c r="H140" s="18"/>
      <c r="M140" s="18"/>
      <c r="P140" s="18"/>
    </row>
    <row r="141" ht="15.75" customHeight="1">
      <c r="G141" s="18"/>
      <c r="H141" s="18"/>
      <c r="M141" s="18"/>
      <c r="P141" s="18"/>
    </row>
    <row r="142" ht="15.75" customHeight="1">
      <c r="G142" s="18"/>
      <c r="H142" s="18"/>
      <c r="M142" s="18"/>
      <c r="P142" s="18"/>
    </row>
    <row r="143" ht="15.75" customHeight="1">
      <c r="G143" s="18"/>
      <c r="H143" s="18"/>
      <c r="M143" s="18"/>
      <c r="P143" s="18"/>
    </row>
    <row r="144" ht="15.75" customHeight="1">
      <c r="G144" s="18"/>
      <c r="H144" s="18"/>
      <c r="M144" s="18"/>
      <c r="P144" s="18"/>
    </row>
    <row r="145" ht="15.75" customHeight="1">
      <c r="G145" s="18"/>
      <c r="H145" s="18"/>
      <c r="M145" s="18"/>
      <c r="P145" s="18"/>
    </row>
    <row r="146" ht="15.75" customHeight="1">
      <c r="G146" s="18"/>
      <c r="H146" s="18"/>
      <c r="M146" s="18"/>
      <c r="P146" s="18"/>
    </row>
    <row r="147" ht="15.75" customHeight="1">
      <c r="G147" s="18"/>
      <c r="H147" s="18"/>
      <c r="M147" s="18"/>
      <c r="P147" s="18"/>
    </row>
    <row r="148" ht="15.75" customHeight="1">
      <c r="G148" s="18"/>
      <c r="H148" s="18"/>
      <c r="M148" s="18"/>
      <c r="P148" s="18"/>
    </row>
    <row r="149" ht="15.75" customHeight="1">
      <c r="G149" s="18"/>
      <c r="H149" s="18"/>
      <c r="M149" s="18"/>
      <c r="P149" s="18"/>
    </row>
    <row r="150" ht="15.75" customHeight="1">
      <c r="G150" s="18"/>
      <c r="H150" s="18"/>
      <c r="M150" s="18"/>
      <c r="P150" s="18"/>
    </row>
    <row r="151" ht="15.75" customHeight="1">
      <c r="G151" s="18"/>
      <c r="H151" s="18"/>
      <c r="M151" s="18"/>
      <c r="P151" s="18"/>
    </row>
    <row r="152" ht="15.75" customHeight="1">
      <c r="G152" s="18"/>
      <c r="H152" s="18"/>
      <c r="M152" s="18"/>
      <c r="P152" s="18"/>
    </row>
    <row r="153" ht="15.75" customHeight="1">
      <c r="G153" s="18"/>
      <c r="H153" s="18"/>
      <c r="M153" s="18"/>
      <c r="P153" s="18"/>
    </row>
    <row r="154" ht="15.75" customHeight="1">
      <c r="G154" s="18"/>
      <c r="H154" s="18"/>
      <c r="M154" s="18"/>
      <c r="P154" s="18"/>
    </row>
    <row r="155" ht="15.75" customHeight="1">
      <c r="G155" s="18"/>
      <c r="H155" s="18"/>
      <c r="M155" s="18"/>
      <c r="P155" s="18"/>
    </row>
    <row r="156" ht="15.75" customHeight="1">
      <c r="G156" s="18"/>
      <c r="H156" s="18"/>
      <c r="M156" s="18"/>
      <c r="P156" s="18"/>
    </row>
    <row r="157" ht="15.75" customHeight="1">
      <c r="G157" s="18"/>
      <c r="H157" s="18"/>
      <c r="M157" s="18"/>
      <c r="P157" s="18"/>
    </row>
    <row r="158" ht="15.75" customHeight="1">
      <c r="G158" s="18"/>
      <c r="H158" s="18"/>
      <c r="M158" s="18"/>
      <c r="P158" s="18"/>
    </row>
    <row r="159" ht="15.75" customHeight="1">
      <c r="G159" s="18"/>
      <c r="H159" s="18"/>
      <c r="M159" s="18"/>
      <c r="P159" s="18"/>
    </row>
    <row r="160" ht="15.75" customHeight="1">
      <c r="G160" s="18"/>
      <c r="H160" s="18"/>
      <c r="M160" s="18"/>
      <c r="P160" s="18"/>
    </row>
    <row r="161" ht="15.75" customHeight="1">
      <c r="G161" s="18"/>
      <c r="H161" s="18"/>
      <c r="M161" s="18"/>
      <c r="P161" s="18"/>
    </row>
    <row r="162" ht="15.75" customHeight="1">
      <c r="G162" s="18"/>
      <c r="H162" s="18"/>
      <c r="M162" s="18"/>
      <c r="P162" s="18"/>
    </row>
    <row r="163" ht="15.75" customHeight="1">
      <c r="G163" s="18"/>
      <c r="H163" s="18"/>
      <c r="M163" s="18"/>
      <c r="P163" s="18"/>
    </row>
    <row r="164" ht="15.75" customHeight="1">
      <c r="G164" s="18"/>
      <c r="H164" s="18"/>
      <c r="M164" s="18"/>
      <c r="P164" s="18"/>
    </row>
    <row r="165" ht="15.75" customHeight="1">
      <c r="G165" s="18"/>
      <c r="H165" s="18"/>
      <c r="M165" s="18"/>
      <c r="P165" s="18"/>
    </row>
    <row r="166" ht="15.75" customHeight="1">
      <c r="G166" s="18"/>
      <c r="H166" s="18"/>
      <c r="M166" s="18"/>
      <c r="P166" s="18"/>
    </row>
    <row r="167" ht="15.75" customHeight="1">
      <c r="G167" s="18"/>
      <c r="H167" s="18"/>
      <c r="M167" s="18"/>
      <c r="P167" s="18"/>
    </row>
    <row r="168" ht="15.75" customHeight="1">
      <c r="G168" s="18"/>
      <c r="H168" s="18"/>
      <c r="M168" s="18"/>
      <c r="P168" s="18"/>
    </row>
    <row r="169" ht="15.75" customHeight="1">
      <c r="G169" s="18"/>
      <c r="H169" s="18"/>
      <c r="M169" s="18"/>
      <c r="P169" s="18"/>
    </row>
    <row r="170" ht="15.75" customHeight="1">
      <c r="G170" s="18"/>
      <c r="H170" s="18"/>
      <c r="M170" s="18"/>
      <c r="P170" s="18"/>
    </row>
    <row r="171" ht="15.75" customHeight="1">
      <c r="G171" s="18"/>
      <c r="H171" s="18"/>
      <c r="M171" s="18"/>
      <c r="P171" s="18"/>
    </row>
    <row r="172" ht="15.75" customHeight="1">
      <c r="G172" s="18"/>
      <c r="H172" s="18"/>
      <c r="M172" s="18"/>
      <c r="P172" s="18"/>
    </row>
    <row r="173" ht="15.75" customHeight="1">
      <c r="G173" s="18"/>
      <c r="H173" s="18"/>
      <c r="M173" s="18"/>
      <c r="P173" s="18"/>
    </row>
    <row r="174" ht="15.75" customHeight="1">
      <c r="G174" s="18"/>
      <c r="H174" s="18"/>
      <c r="M174" s="18"/>
      <c r="P174" s="18"/>
    </row>
    <row r="175" ht="15.75" customHeight="1">
      <c r="G175" s="18"/>
      <c r="H175" s="18"/>
      <c r="M175" s="18"/>
      <c r="P175" s="18"/>
    </row>
    <row r="176" ht="15.75" customHeight="1">
      <c r="G176" s="18"/>
      <c r="H176" s="18"/>
      <c r="M176" s="18"/>
      <c r="P176" s="18"/>
    </row>
    <row r="177" ht="15.75" customHeight="1">
      <c r="G177" s="18"/>
      <c r="H177" s="18"/>
      <c r="M177" s="18"/>
      <c r="P177" s="18"/>
    </row>
    <row r="178" ht="15.75" customHeight="1">
      <c r="G178" s="18"/>
      <c r="H178" s="18"/>
      <c r="M178" s="18"/>
      <c r="P178" s="18"/>
    </row>
    <row r="179" ht="15.75" customHeight="1">
      <c r="G179" s="18"/>
      <c r="H179" s="18"/>
      <c r="M179" s="18"/>
      <c r="P179" s="18"/>
    </row>
    <row r="180" ht="15.75" customHeight="1">
      <c r="G180" s="18"/>
      <c r="H180" s="18"/>
      <c r="M180" s="18"/>
      <c r="P180" s="18"/>
    </row>
    <row r="181" ht="15.75" customHeight="1">
      <c r="G181" s="18"/>
      <c r="H181" s="18"/>
      <c r="M181" s="18"/>
      <c r="P181" s="18"/>
    </row>
    <row r="182" ht="15.75" customHeight="1">
      <c r="G182" s="18"/>
      <c r="H182" s="18"/>
      <c r="M182" s="18"/>
      <c r="P182" s="18"/>
    </row>
    <row r="183" ht="15.75" customHeight="1">
      <c r="G183" s="18"/>
      <c r="H183" s="18"/>
      <c r="M183" s="18"/>
      <c r="P183" s="18"/>
    </row>
    <row r="184" ht="15.75" customHeight="1">
      <c r="G184" s="18"/>
      <c r="H184" s="18"/>
      <c r="M184" s="18"/>
      <c r="P184" s="18"/>
    </row>
    <row r="185" ht="15.75" customHeight="1">
      <c r="G185" s="18"/>
      <c r="H185" s="18"/>
      <c r="M185" s="18"/>
      <c r="P185" s="18"/>
    </row>
    <row r="186" ht="15.75" customHeight="1">
      <c r="G186" s="18"/>
      <c r="H186" s="18"/>
      <c r="M186" s="18"/>
      <c r="P186" s="18"/>
    </row>
    <row r="187" ht="15.75" customHeight="1">
      <c r="G187" s="18"/>
      <c r="H187" s="18"/>
      <c r="M187" s="18"/>
      <c r="P187" s="18"/>
    </row>
    <row r="188" ht="15.75" customHeight="1">
      <c r="G188" s="18"/>
      <c r="H188" s="18"/>
      <c r="M188" s="18"/>
      <c r="P188" s="18"/>
    </row>
    <row r="189" ht="15.75" customHeight="1">
      <c r="G189" s="18"/>
      <c r="H189" s="18"/>
      <c r="M189" s="18"/>
      <c r="P189" s="18"/>
    </row>
    <row r="190" ht="15.75" customHeight="1">
      <c r="G190" s="18"/>
      <c r="H190" s="18"/>
      <c r="M190" s="18"/>
      <c r="P190" s="18"/>
    </row>
    <row r="191" ht="15.75" customHeight="1">
      <c r="G191" s="18"/>
      <c r="H191" s="18"/>
      <c r="M191" s="18"/>
      <c r="P191" s="18"/>
    </row>
    <row r="192" ht="15.75" customHeight="1">
      <c r="G192" s="18"/>
      <c r="H192" s="18"/>
      <c r="M192" s="18"/>
      <c r="P192" s="18"/>
    </row>
    <row r="193" ht="15.75" customHeight="1">
      <c r="G193" s="18"/>
      <c r="H193" s="18"/>
      <c r="M193" s="18"/>
      <c r="P193" s="18"/>
    </row>
    <row r="194" ht="15.75" customHeight="1">
      <c r="G194" s="18"/>
      <c r="H194" s="18"/>
      <c r="M194" s="18"/>
      <c r="P194" s="18"/>
    </row>
    <row r="195" ht="15.75" customHeight="1">
      <c r="G195" s="18"/>
      <c r="H195" s="18"/>
      <c r="M195" s="18"/>
      <c r="P195" s="18"/>
    </row>
    <row r="196" ht="15.75" customHeight="1">
      <c r="G196" s="18"/>
      <c r="H196" s="18"/>
      <c r="M196" s="18"/>
      <c r="P196" s="18"/>
    </row>
    <row r="197" ht="15.75" customHeight="1">
      <c r="G197" s="18"/>
      <c r="H197" s="18"/>
      <c r="M197" s="18"/>
      <c r="P197" s="18"/>
    </row>
    <row r="198" ht="15.75" customHeight="1">
      <c r="G198" s="18"/>
      <c r="H198" s="18"/>
      <c r="M198" s="18"/>
      <c r="P198" s="18"/>
    </row>
    <row r="199" ht="15.75" customHeight="1">
      <c r="G199" s="18"/>
      <c r="H199" s="18"/>
      <c r="M199" s="18"/>
      <c r="P199" s="18"/>
    </row>
    <row r="200" ht="15.75" customHeight="1">
      <c r="G200" s="18"/>
      <c r="H200" s="18"/>
      <c r="M200" s="18"/>
      <c r="P200" s="18"/>
    </row>
    <row r="201" ht="15.75" customHeight="1">
      <c r="G201" s="18"/>
      <c r="H201" s="18"/>
      <c r="M201" s="18"/>
      <c r="P201" s="18"/>
    </row>
    <row r="202" ht="15.75" customHeight="1">
      <c r="G202" s="18"/>
      <c r="H202" s="18"/>
      <c r="M202" s="18"/>
      <c r="P202" s="18"/>
    </row>
    <row r="203" ht="15.75" customHeight="1">
      <c r="G203" s="18"/>
      <c r="H203" s="18"/>
      <c r="M203" s="18"/>
      <c r="P203" s="18"/>
    </row>
    <row r="204" ht="15.75" customHeight="1">
      <c r="G204" s="18"/>
      <c r="H204" s="18"/>
      <c r="M204" s="18"/>
      <c r="P204" s="18"/>
    </row>
    <row r="205" ht="15.75" customHeight="1">
      <c r="G205" s="18"/>
      <c r="H205" s="18"/>
      <c r="M205" s="18"/>
      <c r="P205" s="18"/>
    </row>
    <row r="206" ht="15.75" customHeight="1">
      <c r="G206" s="18"/>
      <c r="H206" s="18"/>
      <c r="M206" s="18"/>
      <c r="P206" s="18"/>
    </row>
    <row r="207" ht="15.75" customHeight="1">
      <c r="G207" s="18"/>
      <c r="H207" s="18"/>
      <c r="M207" s="18"/>
      <c r="P207" s="18"/>
    </row>
    <row r="208" ht="15.75" customHeight="1">
      <c r="G208" s="18"/>
      <c r="H208" s="18"/>
      <c r="M208" s="18"/>
      <c r="P208" s="18"/>
    </row>
    <row r="209" ht="15.75" customHeight="1">
      <c r="G209" s="18"/>
      <c r="H209" s="18"/>
      <c r="M209" s="18"/>
      <c r="P209" s="18"/>
    </row>
    <row r="210" ht="15.75" customHeight="1">
      <c r="G210" s="18"/>
      <c r="H210" s="18"/>
      <c r="M210" s="18"/>
      <c r="P210" s="18"/>
    </row>
    <row r="211" ht="15.75" customHeight="1">
      <c r="G211" s="18"/>
      <c r="H211" s="18"/>
      <c r="M211" s="18"/>
      <c r="P211" s="18"/>
    </row>
    <row r="212" ht="15.75" customHeight="1">
      <c r="G212" s="18"/>
      <c r="H212" s="18"/>
      <c r="M212" s="18"/>
      <c r="P212" s="18"/>
    </row>
    <row r="213" ht="15.75" customHeight="1">
      <c r="G213" s="18"/>
      <c r="H213" s="18"/>
      <c r="M213" s="18"/>
      <c r="P213" s="18"/>
    </row>
    <row r="214" ht="15.75" customHeight="1">
      <c r="G214" s="18"/>
      <c r="H214" s="18"/>
      <c r="M214" s="18"/>
      <c r="P214" s="18"/>
    </row>
    <row r="215" ht="15.75" customHeight="1">
      <c r="G215" s="18"/>
      <c r="H215" s="18"/>
      <c r="M215" s="18"/>
      <c r="P215" s="18"/>
    </row>
    <row r="216" ht="15.75" customHeight="1">
      <c r="G216" s="18"/>
      <c r="H216" s="18"/>
      <c r="M216" s="18"/>
      <c r="P216" s="18"/>
    </row>
    <row r="217" ht="15.75" customHeight="1">
      <c r="G217" s="18"/>
      <c r="H217" s="18"/>
      <c r="M217" s="18"/>
      <c r="P217" s="18"/>
    </row>
    <row r="218" ht="15.75" customHeight="1">
      <c r="G218" s="18"/>
      <c r="H218" s="18"/>
      <c r="M218" s="18"/>
      <c r="P218" s="18"/>
    </row>
    <row r="219" ht="15.75" customHeight="1">
      <c r="G219" s="18"/>
      <c r="H219" s="18"/>
      <c r="M219" s="18"/>
      <c r="P219" s="18"/>
    </row>
    <row r="220" ht="15.75" customHeight="1">
      <c r="G220" s="18"/>
      <c r="H220" s="18"/>
      <c r="M220" s="18"/>
      <c r="P220" s="18"/>
    </row>
    <row r="221" ht="15.75" customHeight="1">
      <c r="G221" s="19"/>
      <c r="H221" s="19"/>
      <c r="M221" s="19"/>
      <c r="P221" s="19"/>
    </row>
    <row r="222" ht="15.75" customHeight="1">
      <c r="G222" s="19"/>
      <c r="H222" s="19"/>
      <c r="M222" s="19"/>
      <c r="P222" s="19"/>
    </row>
    <row r="223" ht="15.75" customHeight="1">
      <c r="G223" s="19"/>
      <c r="H223" s="19"/>
      <c r="M223" s="19"/>
      <c r="P223" s="19"/>
    </row>
    <row r="224" ht="15.75" customHeight="1">
      <c r="G224" s="19"/>
      <c r="H224" s="19"/>
      <c r="M224" s="19"/>
      <c r="P224" s="19"/>
    </row>
    <row r="225" ht="15.75" customHeight="1">
      <c r="G225" s="19"/>
      <c r="H225" s="19"/>
      <c r="M225" s="19"/>
      <c r="P225" s="19"/>
    </row>
    <row r="226" ht="15.75" customHeight="1">
      <c r="G226" s="19"/>
      <c r="H226" s="19"/>
      <c r="M226" s="19"/>
      <c r="P226" s="19"/>
    </row>
    <row r="227" ht="15.75" customHeight="1">
      <c r="G227" s="19"/>
      <c r="H227" s="19"/>
      <c r="M227" s="19"/>
      <c r="P227" s="19"/>
    </row>
    <row r="228" ht="15.75" customHeight="1">
      <c r="G228" s="19"/>
      <c r="H228" s="19"/>
      <c r="M228" s="19"/>
      <c r="P228" s="19"/>
    </row>
    <row r="229" ht="15.75" customHeight="1">
      <c r="G229" s="19"/>
      <c r="H229" s="19"/>
      <c r="M229" s="19"/>
      <c r="P229" s="19"/>
    </row>
    <row r="230" ht="15.75" customHeight="1">
      <c r="G230" s="19"/>
      <c r="H230" s="19"/>
      <c r="M230" s="19"/>
      <c r="P230" s="19"/>
    </row>
    <row r="231" ht="15.75" customHeight="1">
      <c r="G231" s="19"/>
      <c r="H231" s="19"/>
      <c r="M231" s="19"/>
      <c r="P231" s="19"/>
    </row>
    <row r="232" ht="15.75" customHeight="1">
      <c r="G232" s="19"/>
      <c r="H232" s="19"/>
      <c r="M232" s="19"/>
      <c r="P232" s="19"/>
    </row>
    <row r="233" ht="15.75" customHeight="1">
      <c r="G233" s="19"/>
      <c r="H233" s="19"/>
      <c r="M233" s="19"/>
      <c r="P233" s="19"/>
    </row>
    <row r="234" ht="15.75" customHeight="1">
      <c r="G234" s="19"/>
      <c r="H234" s="19"/>
      <c r="M234" s="19"/>
      <c r="P234" s="19"/>
    </row>
    <row r="235" ht="15.75" customHeight="1">
      <c r="G235" s="19"/>
      <c r="H235" s="19"/>
      <c r="M235" s="19"/>
      <c r="P235" s="19"/>
    </row>
    <row r="236" ht="15.75" customHeight="1">
      <c r="G236" s="19"/>
      <c r="H236" s="19"/>
      <c r="M236" s="19"/>
      <c r="P236" s="19"/>
    </row>
    <row r="237" ht="15.75" customHeight="1">
      <c r="G237" s="19"/>
      <c r="H237" s="19"/>
      <c r="M237" s="19"/>
      <c r="P237" s="19"/>
    </row>
    <row r="238" ht="15.75" customHeight="1">
      <c r="G238" s="19"/>
      <c r="H238" s="19"/>
      <c r="M238" s="19"/>
      <c r="P238" s="19"/>
    </row>
    <row r="239" ht="15.75" customHeight="1">
      <c r="G239" s="19"/>
      <c r="H239" s="19"/>
      <c r="M239" s="19"/>
      <c r="P239" s="19"/>
    </row>
    <row r="240" ht="15.75" customHeight="1">
      <c r="G240" s="19"/>
      <c r="H240" s="19"/>
      <c r="M240" s="19"/>
      <c r="P240" s="19"/>
    </row>
    <row r="241" ht="15.75" customHeight="1">
      <c r="G241" s="19"/>
      <c r="H241" s="19"/>
      <c r="M241" s="19"/>
      <c r="P241" s="19"/>
    </row>
    <row r="242" ht="15.75" customHeight="1">
      <c r="G242" s="19"/>
      <c r="H242" s="19"/>
      <c r="M242" s="19"/>
      <c r="P242" s="19"/>
    </row>
    <row r="243" ht="15.75" customHeight="1">
      <c r="G243" s="19"/>
      <c r="H243" s="19"/>
      <c r="M243" s="19"/>
      <c r="P243" s="19"/>
    </row>
    <row r="244" ht="15.75" customHeight="1">
      <c r="G244" s="19"/>
      <c r="H244" s="19"/>
      <c r="M244" s="19"/>
      <c r="P244" s="19"/>
    </row>
    <row r="245" ht="15.75" customHeight="1">
      <c r="G245" s="19"/>
      <c r="H245" s="19"/>
      <c r="M245" s="19"/>
      <c r="P245" s="19"/>
    </row>
    <row r="246" ht="15.75" customHeight="1">
      <c r="G246" s="19"/>
      <c r="H246" s="19"/>
      <c r="M246" s="19"/>
      <c r="P246" s="19"/>
    </row>
    <row r="247" ht="15.75" customHeight="1">
      <c r="G247" s="19"/>
      <c r="H247" s="19"/>
      <c r="M247" s="19"/>
      <c r="P247" s="19"/>
    </row>
    <row r="248" ht="15.75" customHeight="1">
      <c r="G248" s="19"/>
      <c r="H248" s="19"/>
      <c r="M248" s="19"/>
      <c r="P248" s="19"/>
    </row>
    <row r="249" ht="15.75" customHeight="1">
      <c r="G249" s="19"/>
      <c r="H249" s="19"/>
      <c r="M249" s="19"/>
      <c r="P249" s="19"/>
    </row>
    <row r="250" ht="15.75" customHeight="1">
      <c r="G250" s="19"/>
      <c r="H250" s="19"/>
      <c r="M250" s="19"/>
      <c r="P250" s="19"/>
    </row>
    <row r="251" ht="15.75" customHeight="1">
      <c r="G251" s="19"/>
      <c r="H251" s="19"/>
      <c r="M251" s="19"/>
      <c r="P251" s="19"/>
    </row>
    <row r="252" ht="15.75" customHeight="1">
      <c r="G252" s="19"/>
      <c r="H252" s="19"/>
      <c r="M252" s="19"/>
      <c r="P252" s="19"/>
    </row>
    <row r="253" ht="15.75" customHeight="1">
      <c r="G253" s="19"/>
      <c r="H253" s="19"/>
      <c r="M253" s="19"/>
      <c r="P253" s="19"/>
    </row>
    <row r="254" ht="15.75" customHeight="1">
      <c r="G254" s="19"/>
      <c r="H254" s="19"/>
      <c r="M254" s="19"/>
      <c r="P254" s="19"/>
    </row>
    <row r="255" ht="15.75" customHeight="1">
      <c r="G255" s="19"/>
      <c r="H255" s="19"/>
      <c r="M255" s="19"/>
      <c r="P255" s="19"/>
    </row>
    <row r="256" ht="15.75" customHeight="1">
      <c r="G256" s="19"/>
      <c r="H256" s="19"/>
      <c r="M256" s="19"/>
      <c r="P256" s="19"/>
    </row>
    <row r="257" ht="15.75" customHeight="1">
      <c r="G257" s="19"/>
      <c r="H257" s="19"/>
      <c r="M257" s="19"/>
      <c r="P257" s="19"/>
    </row>
    <row r="258" ht="15.75" customHeight="1">
      <c r="G258" s="19"/>
      <c r="H258" s="19"/>
      <c r="M258" s="19"/>
      <c r="P258" s="19"/>
    </row>
    <row r="259" ht="15.75" customHeight="1">
      <c r="G259" s="19"/>
      <c r="H259" s="19"/>
      <c r="M259" s="19"/>
      <c r="P259" s="19"/>
    </row>
    <row r="260" ht="15.75" customHeight="1">
      <c r="G260" s="19"/>
      <c r="H260" s="19"/>
      <c r="M260" s="19"/>
      <c r="P260" s="19"/>
    </row>
    <row r="261" ht="15.75" customHeight="1">
      <c r="G261" s="19"/>
      <c r="H261" s="19"/>
      <c r="M261" s="19"/>
      <c r="P261" s="19"/>
    </row>
    <row r="262" ht="15.75" customHeight="1">
      <c r="G262" s="19"/>
      <c r="H262" s="19"/>
      <c r="M262" s="19"/>
      <c r="P262" s="19"/>
    </row>
    <row r="263" ht="15.75" customHeight="1">
      <c r="G263" s="19"/>
      <c r="H263" s="19"/>
      <c r="M263" s="19"/>
      <c r="P263" s="19"/>
    </row>
    <row r="264" ht="15.75" customHeight="1">
      <c r="G264" s="19"/>
      <c r="H264" s="19"/>
      <c r="M264" s="19"/>
      <c r="P264" s="19"/>
    </row>
    <row r="265" ht="15.75" customHeight="1">
      <c r="G265" s="19"/>
      <c r="H265" s="19"/>
      <c r="M265" s="19"/>
      <c r="P265" s="19"/>
    </row>
    <row r="266" ht="15.75" customHeight="1">
      <c r="G266" s="19"/>
      <c r="H266" s="19"/>
      <c r="M266" s="19"/>
      <c r="P266" s="19"/>
    </row>
    <row r="267" ht="15.75" customHeight="1">
      <c r="G267" s="19"/>
      <c r="H267" s="19"/>
      <c r="M267" s="19"/>
      <c r="P267" s="19"/>
    </row>
    <row r="268" ht="15.75" customHeight="1">
      <c r="G268" s="19"/>
      <c r="H268" s="19"/>
      <c r="M268" s="19"/>
      <c r="P268" s="19"/>
    </row>
    <row r="269" ht="15.75" customHeight="1">
      <c r="G269" s="19"/>
      <c r="H269" s="19"/>
      <c r="M269" s="19"/>
      <c r="P269" s="19"/>
    </row>
    <row r="270" ht="15.75" customHeight="1">
      <c r="G270" s="19"/>
      <c r="H270" s="19"/>
      <c r="M270" s="19"/>
      <c r="P270" s="19"/>
    </row>
    <row r="271" ht="15.75" customHeight="1">
      <c r="G271" s="19"/>
      <c r="H271" s="19"/>
      <c r="M271" s="19"/>
      <c r="P271" s="19"/>
    </row>
    <row r="272" ht="15.75" customHeight="1">
      <c r="G272" s="19"/>
      <c r="H272" s="19"/>
      <c r="M272" s="19"/>
      <c r="P272" s="19"/>
    </row>
    <row r="273" ht="15.75" customHeight="1">
      <c r="G273" s="19"/>
      <c r="H273" s="19"/>
      <c r="M273" s="19"/>
      <c r="P273" s="19"/>
    </row>
    <row r="274" ht="15.75" customHeight="1">
      <c r="G274" s="19"/>
      <c r="H274" s="19"/>
      <c r="M274" s="19"/>
      <c r="P274" s="19"/>
    </row>
    <row r="275" ht="15.75" customHeight="1">
      <c r="G275" s="19"/>
      <c r="H275" s="19"/>
      <c r="M275" s="19"/>
      <c r="P275" s="19"/>
    </row>
    <row r="276" ht="15.75" customHeight="1">
      <c r="G276" s="19"/>
      <c r="H276" s="19"/>
      <c r="M276" s="19"/>
      <c r="P276" s="19"/>
    </row>
    <row r="277" ht="15.75" customHeight="1">
      <c r="G277" s="19"/>
      <c r="H277" s="19"/>
      <c r="M277" s="19"/>
      <c r="P277" s="19"/>
    </row>
    <row r="278" ht="15.75" customHeight="1">
      <c r="G278" s="19"/>
      <c r="H278" s="19"/>
      <c r="M278" s="19"/>
      <c r="P278" s="19"/>
    </row>
    <row r="279" ht="15.75" customHeight="1">
      <c r="G279" s="19"/>
      <c r="H279" s="19"/>
      <c r="M279" s="19"/>
      <c r="P279" s="19"/>
    </row>
    <row r="280" ht="15.75" customHeight="1">
      <c r="G280" s="19"/>
      <c r="H280" s="19"/>
      <c r="M280" s="19"/>
      <c r="P280" s="19"/>
    </row>
    <row r="281" ht="15.75" customHeight="1">
      <c r="G281" s="19"/>
      <c r="H281" s="19"/>
      <c r="M281" s="19"/>
      <c r="P281" s="19"/>
    </row>
    <row r="282" ht="15.75" customHeight="1">
      <c r="G282" s="19"/>
      <c r="H282" s="19"/>
      <c r="M282" s="19"/>
      <c r="P282" s="19"/>
    </row>
    <row r="283" ht="15.75" customHeight="1">
      <c r="G283" s="19"/>
      <c r="H283" s="19"/>
      <c r="M283" s="19"/>
      <c r="P283" s="19"/>
    </row>
    <row r="284" ht="15.75" customHeight="1">
      <c r="G284" s="19"/>
      <c r="H284" s="19"/>
      <c r="M284" s="19"/>
      <c r="P284" s="19"/>
    </row>
    <row r="285" ht="15.75" customHeight="1">
      <c r="G285" s="19"/>
      <c r="H285" s="19"/>
      <c r="M285" s="19"/>
      <c r="P285" s="19"/>
    </row>
    <row r="286" ht="15.75" customHeight="1">
      <c r="G286" s="19"/>
      <c r="H286" s="19"/>
      <c r="M286" s="19"/>
      <c r="P286" s="19"/>
    </row>
    <row r="287" ht="15.75" customHeight="1">
      <c r="G287" s="19"/>
      <c r="H287" s="19"/>
      <c r="M287" s="19"/>
      <c r="P287" s="19"/>
    </row>
    <row r="288" ht="15.75" customHeight="1">
      <c r="G288" s="19"/>
      <c r="H288" s="19"/>
      <c r="M288" s="19"/>
      <c r="P288" s="19"/>
    </row>
    <row r="289" ht="15.75" customHeight="1">
      <c r="G289" s="19"/>
      <c r="H289" s="19"/>
      <c r="M289" s="19"/>
      <c r="P289" s="19"/>
    </row>
    <row r="290" ht="15.75" customHeight="1">
      <c r="G290" s="19"/>
      <c r="H290" s="19"/>
      <c r="M290" s="19"/>
      <c r="P290" s="19"/>
    </row>
    <row r="291" ht="15.75" customHeight="1">
      <c r="G291" s="19"/>
      <c r="H291" s="19"/>
      <c r="M291" s="19"/>
      <c r="P291" s="19"/>
    </row>
    <row r="292" ht="15.75" customHeight="1">
      <c r="G292" s="19"/>
      <c r="H292" s="19"/>
      <c r="M292" s="19"/>
      <c r="P292" s="19"/>
    </row>
    <row r="293" ht="15.75" customHeight="1">
      <c r="G293" s="19"/>
      <c r="H293" s="19"/>
      <c r="M293" s="19"/>
      <c r="P293" s="19"/>
    </row>
    <row r="294" ht="15.75" customHeight="1">
      <c r="G294" s="19"/>
      <c r="H294" s="19"/>
      <c r="M294" s="19"/>
      <c r="P294" s="19"/>
    </row>
    <row r="295" ht="15.75" customHeight="1">
      <c r="G295" s="19"/>
      <c r="H295" s="19"/>
      <c r="M295" s="19"/>
      <c r="P295" s="19"/>
    </row>
    <row r="296" ht="15.75" customHeight="1">
      <c r="G296" s="19"/>
      <c r="H296" s="19"/>
      <c r="M296" s="19"/>
      <c r="P296" s="19"/>
    </row>
    <row r="297" ht="15.75" customHeight="1">
      <c r="G297" s="19"/>
      <c r="H297" s="19"/>
      <c r="M297" s="19"/>
      <c r="P297" s="19"/>
    </row>
    <row r="298" ht="15.75" customHeight="1">
      <c r="G298" s="19"/>
      <c r="H298" s="19"/>
      <c r="M298" s="19"/>
      <c r="P298" s="19"/>
    </row>
    <row r="299" ht="15.75" customHeight="1">
      <c r="G299" s="19"/>
      <c r="H299" s="19"/>
      <c r="M299" s="19"/>
      <c r="P299" s="19"/>
    </row>
    <row r="300" ht="15.75" customHeight="1">
      <c r="G300" s="19"/>
      <c r="H300" s="19"/>
      <c r="M300" s="19"/>
      <c r="P300" s="19"/>
    </row>
    <row r="301" ht="15.75" customHeight="1">
      <c r="G301" s="19"/>
      <c r="H301" s="19"/>
      <c r="M301" s="19"/>
      <c r="P301" s="19"/>
    </row>
    <row r="302" ht="15.75" customHeight="1">
      <c r="G302" s="19"/>
      <c r="H302" s="19"/>
      <c r="M302" s="19"/>
      <c r="P302" s="19"/>
    </row>
    <row r="303" ht="15.75" customHeight="1">
      <c r="G303" s="19"/>
      <c r="H303" s="19"/>
      <c r="M303" s="19"/>
      <c r="P303" s="19"/>
    </row>
    <row r="304" ht="15.75" customHeight="1">
      <c r="G304" s="19"/>
      <c r="H304" s="19"/>
      <c r="M304" s="19"/>
      <c r="P304" s="19"/>
    </row>
    <row r="305" ht="15.75" customHeight="1">
      <c r="G305" s="19"/>
      <c r="H305" s="19"/>
      <c r="M305" s="19"/>
      <c r="P305" s="19"/>
    </row>
    <row r="306" ht="15.75" customHeight="1">
      <c r="G306" s="19"/>
      <c r="H306" s="19"/>
      <c r="M306" s="19"/>
      <c r="P306" s="19"/>
    </row>
    <row r="307" ht="15.75" customHeight="1">
      <c r="G307" s="19"/>
      <c r="H307" s="19"/>
      <c r="M307" s="19"/>
      <c r="P307" s="19"/>
    </row>
    <row r="308" ht="15.75" customHeight="1">
      <c r="G308" s="19"/>
      <c r="H308" s="19"/>
      <c r="M308" s="19"/>
      <c r="P308" s="19"/>
    </row>
    <row r="309" ht="15.75" customHeight="1">
      <c r="G309" s="19"/>
      <c r="H309" s="19"/>
      <c r="M309" s="19"/>
      <c r="P309" s="19"/>
    </row>
    <row r="310" ht="15.75" customHeight="1">
      <c r="G310" s="19"/>
      <c r="H310" s="19"/>
      <c r="M310" s="19"/>
      <c r="P310" s="19"/>
    </row>
    <row r="311" ht="15.75" customHeight="1">
      <c r="G311" s="19"/>
      <c r="H311" s="19"/>
      <c r="M311" s="19"/>
      <c r="P311" s="19"/>
    </row>
    <row r="312" ht="15.75" customHeight="1">
      <c r="G312" s="19"/>
      <c r="H312" s="19"/>
      <c r="M312" s="19"/>
      <c r="P312" s="19"/>
    </row>
    <row r="313" ht="15.75" customHeight="1">
      <c r="G313" s="19"/>
      <c r="H313" s="19"/>
      <c r="M313" s="19"/>
      <c r="P313" s="19"/>
    </row>
    <row r="314" ht="15.75" customHeight="1">
      <c r="G314" s="19"/>
      <c r="H314" s="19"/>
      <c r="M314" s="19"/>
      <c r="P314" s="19"/>
    </row>
    <row r="315" ht="15.75" customHeight="1">
      <c r="G315" s="19"/>
      <c r="H315" s="19"/>
      <c r="M315" s="19"/>
      <c r="P315" s="19"/>
    </row>
    <row r="316" ht="15.75" customHeight="1">
      <c r="G316" s="19"/>
      <c r="H316" s="19"/>
      <c r="M316" s="19"/>
      <c r="P316" s="19"/>
    </row>
    <row r="317" ht="15.75" customHeight="1">
      <c r="G317" s="19"/>
      <c r="H317" s="19"/>
      <c r="M317" s="19"/>
      <c r="P317" s="19"/>
    </row>
    <row r="318" ht="15.75" customHeight="1">
      <c r="G318" s="19"/>
      <c r="H318" s="19"/>
      <c r="M318" s="19"/>
      <c r="P318" s="19"/>
    </row>
    <row r="319" ht="15.75" customHeight="1">
      <c r="G319" s="19"/>
      <c r="H319" s="19"/>
      <c r="M319" s="19"/>
      <c r="P319" s="19"/>
    </row>
    <row r="320" ht="15.75" customHeight="1">
      <c r="G320" s="19"/>
      <c r="H320" s="19"/>
      <c r="M320" s="19"/>
      <c r="P320" s="19"/>
    </row>
    <row r="321" ht="15.75" customHeight="1">
      <c r="G321" s="19"/>
      <c r="H321" s="19"/>
      <c r="M321" s="19"/>
      <c r="P321" s="19"/>
    </row>
    <row r="322" ht="15.75" customHeight="1">
      <c r="G322" s="19"/>
      <c r="H322" s="19"/>
      <c r="M322" s="19"/>
      <c r="P322" s="19"/>
    </row>
    <row r="323" ht="15.75" customHeight="1">
      <c r="G323" s="19"/>
      <c r="H323" s="19"/>
      <c r="M323" s="19"/>
      <c r="P323" s="19"/>
    </row>
    <row r="324" ht="15.75" customHeight="1">
      <c r="G324" s="19"/>
      <c r="H324" s="19"/>
      <c r="M324" s="19"/>
      <c r="P324" s="19"/>
    </row>
    <row r="325" ht="15.75" customHeight="1">
      <c r="G325" s="19"/>
      <c r="H325" s="19"/>
      <c r="M325" s="19"/>
      <c r="P325" s="19"/>
    </row>
    <row r="326" ht="15.75" customHeight="1">
      <c r="G326" s="19"/>
      <c r="H326" s="19"/>
      <c r="M326" s="19"/>
      <c r="P326" s="19"/>
    </row>
    <row r="327" ht="15.75" customHeight="1">
      <c r="G327" s="19"/>
      <c r="H327" s="19"/>
      <c r="M327" s="19"/>
      <c r="P327" s="19"/>
    </row>
    <row r="328" ht="15.75" customHeight="1">
      <c r="G328" s="19"/>
      <c r="H328" s="19"/>
      <c r="M328" s="19"/>
      <c r="P328" s="19"/>
    </row>
    <row r="329" ht="15.75" customHeight="1">
      <c r="G329" s="19"/>
      <c r="H329" s="19"/>
      <c r="M329" s="19"/>
      <c r="P329" s="19"/>
    </row>
    <row r="330" ht="15.75" customHeight="1">
      <c r="G330" s="19"/>
      <c r="H330" s="19"/>
      <c r="M330" s="19"/>
      <c r="P330" s="19"/>
    </row>
    <row r="331" ht="15.75" customHeight="1">
      <c r="G331" s="19"/>
      <c r="H331" s="19"/>
      <c r="M331" s="19"/>
      <c r="P331" s="19"/>
    </row>
    <row r="332" ht="15.75" customHeight="1">
      <c r="G332" s="19"/>
      <c r="H332" s="19"/>
      <c r="M332" s="19"/>
      <c r="P332" s="19"/>
    </row>
    <row r="333" ht="15.75" customHeight="1">
      <c r="G333" s="19"/>
      <c r="H333" s="19"/>
      <c r="M333" s="19"/>
      <c r="P333" s="19"/>
    </row>
    <row r="334" ht="15.75" customHeight="1">
      <c r="G334" s="19"/>
      <c r="H334" s="19"/>
      <c r="M334" s="19"/>
      <c r="P334" s="19"/>
    </row>
    <row r="335" ht="15.75" customHeight="1">
      <c r="G335" s="19"/>
      <c r="H335" s="19"/>
      <c r="M335" s="19"/>
      <c r="P335" s="19"/>
    </row>
    <row r="336" ht="15.75" customHeight="1">
      <c r="G336" s="19"/>
      <c r="H336" s="19"/>
      <c r="M336" s="19"/>
      <c r="P336" s="19"/>
    </row>
    <row r="337" ht="15.75" customHeight="1">
      <c r="G337" s="19"/>
      <c r="H337" s="19"/>
      <c r="M337" s="19"/>
      <c r="P337" s="19"/>
    </row>
    <row r="338" ht="15.75" customHeight="1">
      <c r="G338" s="19"/>
      <c r="H338" s="19"/>
      <c r="M338" s="19"/>
      <c r="P338" s="19"/>
    </row>
    <row r="339" ht="15.75" customHeight="1">
      <c r="G339" s="19"/>
      <c r="H339" s="19"/>
      <c r="M339" s="19"/>
      <c r="P339" s="19"/>
    </row>
    <row r="340" ht="15.75" customHeight="1">
      <c r="G340" s="19"/>
      <c r="H340" s="19"/>
      <c r="M340" s="19"/>
      <c r="P340" s="19"/>
    </row>
    <row r="341" ht="15.75" customHeight="1">
      <c r="G341" s="19"/>
      <c r="H341" s="19"/>
      <c r="M341" s="19"/>
      <c r="P341" s="19"/>
    </row>
    <row r="342" ht="15.75" customHeight="1">
      <c r="G342" s="19"/>
      <c r="H342" s="19"/>
      <c r="M342" s="19"/>
      <c r="P342" s="19"/>
    </row>
    <row r="343" ht="15.75" customHeight="1">
      <c r="G343" s="19"/>
      <c r="H343" s="19"/>
      <c r="M343" s="19"/>
      <c r="P343" s="19"/>
    </row>
    <row r="344" ht="15.75" customHeight="1">
      <c r="G344" s="19"/>
      <c r="H344" s="19"/>
      <c r="M344" s="19"/>
      <c r="P344" s="19"/>
    </row>
    <row r="345" ht="15.75" customHeight="1">
      <c r="G345" s="19"/>
      <c r="H345" s="19"/>
      <c r="M345" s="19"/>
      <c r="P345" s="19"/>
    </row>
    <row r="346" ht="15.75" customHeight="1">
      <c r="G346" s="19"/>
      <c r="H346" s="19"/>
      <c r="M346" s="19"/>
      <c r="P346" s="19"/>
    </row>
    <row r="347" ht="15.75" customHeight="1">
      <c r="G347" s="19"/>
      <c r="H347" s="19"/>
      <c r="M347" s="19"/>
      <c r="P347" s="19"/>
    </row>
    <row r="348" ht="15.75" customHeight="1">
      <c r="G348" s="19"/>
      <c r="H348" s="19"/>
      <c r="M348" s="19"/>
      <c r="P348" s="19"/>
    </row>
    <row r="349" ht="15.75" customHeight="1">
      <c r="G349" s="19"/>
      <c r="H349" s="19"/>
      <c r="M349" s="19"/>
      <c r="P349" s="19"/>
    </row>
    <row r="350" ht="15.75" customHeight="1">
      <c r="G350" s="19"/>
      <c r="H350" s="19"/>
      <c r="M350" s="19"/>
      <c r="P350" s="19"/>
    </row>
    <row r="351" ht="15.75" customHeight="1">
      <c r="G351" s="19"/>
      <c r="H351" s="19"/>
      <c r="M351" s="19"/>
      <c r="P351" s="19"/>
    </row>
    <row r="352" ht="15.75" customHeight="1">
      <c r="G352" s="19"/>
      <c r="H352" s="19"/>
      <c r="M352" s="19"/>
      <c r="P352" s="19"/>
    </row>
    <row r="353" ht="15.75" customHeight="1">
      <c r="G353" s="19"/>
      <c r="H353" s="19"/>
      <c r="M353" s="19"/>
      <c r="P353" s="19"/>
    </row>
    <row r="354" ht="15.75" customHeight="1">
      <c r="G354" s="19"/>
      <c r="H354" s="19"/>
      <c r="M354" s="19"/>
      <c r="P354" s="19"/>
    </row>
    <row r="355" ht="15.75" customHeight="1">
      <c r="G355" s="19"/>
      <c r="H355" s="19"/>
      <c r="M355" s="19"/>
      <c r="P355" s="19"/>
    </row>
    <row r="356" ht="15.75" customHeight="1">
      <c r="G356" s="19"/>
      <c r="H356" s="19"/>
      <c r="M356" s="19"/>
      <c r="P356" s="19"/>
    </row>
    <row r="357" ht="15.75" customHeight="1">
      <c r="G357" s="19"/>
      <c r="H357" s="19"/>
      <c r="M357" s="19"/>
      <c r="P357" s="19"/>
    </row>
    <row r="358" ht="15.75" customHeight="1">
      <c r="G358" s="19"/>
      <c r="H358" s="19"/>
      <c r="M358" s="19"/>
      <c r="P358" s="19"/>
    </row>
    <row r="359" ht="15.75" customHeight="1">
      <c r="G359" s="19"/>
      <c r="H359" s="19"/>
      <c r="M359" s="19"/>
      <c r="P359" s="19"/>
    </row>
    <row r="360" ht="15.75" customHeight="1">
      <c r="G360" s="19"/>
      <c r="H360" s="19"/>
      <c r="M360" s="19"/>
      <c r="P360" s="19"/>
    </row>
    <row r="361" ht="15.75" customHeight="1">
      <c r="G361" s="19"/>
      <c r="H361" s="19"/>
      <c r="M361" s="19"/>
      <c r="P361" s="19"/>
    </row>
    <row r="362" ht="15.75" customHeight="1">
      <c r="G362" s="19"/>
      <c r="H362" s="19"/>
      <c r="M362" s="19"/>
      <c r="P362" s="19"/>
    </row>
    <row r="363" ht="15.75" customHeight="1">
      <c r="G363" s="19"/>
      <c r="H363" s="19"/>
      <c r="M363" s="19"/>
      <c r="P363" s="19"/>
    </row>
    <row r="364" ht="15.75" customHeight="1">
      <c r="G364" s="19"/>
      <c r="H364" s="19"/>
      <c r="M364" s="19"/>
      <c r="P364" s="19"/>
    </row>
    <row r="365" ht="15.75" customHeight="1">
      <c r="G365" s="19"/>
      <c r="H365" s="19"/>
      <c r="M365" s="19"/>
      <c r="P365" s="19"/>
    </row>
    <row r="366" ht="15.75" customHeight="1">
      <c r="G366" s="19"/>
      <c r="H366" s="19"/>
      <c r="M366" s="19"/>
      <c r="P366" s="19"/>
    </row>
    <row r="367" ht="15.75" customHeight="1">
      <c r="G367" s="19"/>
      <c r="H367" s="19"/>
      <c r="M367" s="19"/>
      <c r="P367" s="19"/>
    </row>
    <row r="368" ht="15.75" customHeight="1">
      <c r="G368" s="19"/>
      <c r="H368" s="19"/>
      <c r="M368" s="19"/>
      <c r="P368" s="19"/>
    </row>
    <row r="369" ht="15.75" customHeight="1">
      <c r="G369" s="19"/>
      <c r="H369" s="19"/>
      <c r="M369" s="19"/>
      <c r="P369" s="19"/>
    </row>
    <row r="370" ht="15.75" customHeight="1">
      <c r="G370" s="19"/>
      <c r="H370" s="19"/>
      <c r="M370" s="19"/>
      <c r="P370" s="19"/>
    </row>
    <row r="371" ht="15.75" customHeight="1">
      <c r="G371" s="19"/>
      <c r="H371" s="19"/>
      <c r="M371" s="19"/>
      <c r="P371" s="19"/>
    </row>
    <row r="372" ht="15.75" customHeight="1">
      <c r="G372" s="19"/>
      <c r="H372" s="19"/>
      <c r="M372" s="19"/>
      <c r="P372" s="19"/>
    </row>
    <row r="373" ht="15.75" customHeight="1">
      <c r="G373" s="19"/>
      <c r="H373" s="19"/>
      <c r="M373" s="19"/>
      <c r="P373" s="19"/>
    </row>
    <row r="374" ht="15.75" customHeight="1">
      <c r="G374" s="19"/>
      <c r="H374" s="19"/>
      <c r="M374" s="19"/>
      <c r="P374" s="19"/>
    </row>
    <row r="375" ht="15.75" customHeight="1">
      <c r="G375" s="19"/>
      <c r="H375" s="19"/>
      <c r="M375" s="19"/>
      <c r="P375" s="19"/>
    </row>
    <row r="376" ht="15.75" customHeight="1">
      <c r="G376" s="19"/>
      <c r="H376" s="19"/>
      <c r="M376" s="19"/>
      <c r="P376" s="19"/>
    </row>
    <row r="377" ht="15.75" customHeight="1">
      <c r="G377" s="19"/>
      <c r="H377" s="19"/>
      <c r="M377" s="19"/>
      <c r="P377" s="19"/>
    </row>
    <row r="378" ht="15.75" customHeight="1">
      <c r="G378" s="19"/>
      <c r="H378" s="19"/>
      <c r="M378" s="19"/>
      <c r="P378" s="19"/>
    </row>
    <row r="379" ht="15.75" customHeight="1">
      <c r="G379" s="19"/>
      <c r="H379" s="19"/>
      <c r="M379" s="19"/>
      <c r="P379" s="19"/>
    </row>
    <row r="380" ht="15.75" customHeight="1">
      <c r="G380" s="19"/>
      <c r="H380" s="19"/>
      <c r="M380" s="19"/>
      <c r="P380" s="19"/>
    </row>
    <row r="381" ht="15.75" customHeight="1">
      <c r="G381" s="19"/>
      <c r="H381" s="19"/>
      <c r="M381" s="19"/>
      <c r="P381" s="19"/>
    </row>
    <row r="382" ht="15.75" customHeight="1">
      <c r="G382" s="19"/>
      <c r="H382" s="19"/>
      <c r="M382" s="19"/>
      <c r="P382" s="19"/>
    </row>
    <row r="383" ht="15.75" customHeight="1">
      <c r="G383" s="19"/>
      <c r="H383" s="19"/>
      <c r="M383" s="19"/>
      <c r="P383" s="19"/>
    </row>
    <row r="384" ht="15.75" customHeight="1">
      <c r="G384" s="19"/>
      <c r="H384" s="19"/>
      <c r="M384" s="19"/>
      <c r="P384" s="19"/>
    </row>
    <row r="385" ht="15.75" customHeight="1">
      <c r="G385" s="19"/>
      <c r="H385" s="19"/>
      <c r="M385" s="19"/>
      <c r="P385" s="19"/>
    </row>
    <row r="386" ht="15.75" customHeight="1">
      <c r="G386" s="19"/>
      <c r="H386" s="19"/>
      <c r="M386" s="19"/>
      <c r="P386" s="19"/>
    </row>
    <row r="387" ht="15.75" customHeight="1">
      <c r="G387" s="19"/>
      <c r="H387" s="19"/>
      <c r="M387" s="19"/>
      <c r="P387" s="19"/>
    </row>
    <row r="388" ht="15.75" customHeight="1">
      <c r="G388" s="19"/>
      <c r="H388" s="19"/>
      <c r="M388" s="19"/>
      <c r="P388" s="19"/>
    </row>
    <row r="389" ht="15.75" customHeight="1">
      <c r="G389" s="19"/>
      <c r="H389" s="19"/>
      <c r="M389" s="19"/>
      <c r="P389" s="19"/>
    </row>
    <row r="390" ht="15.75" customHeight="1">
      <c r="G390" s="19"/>
      <c r="H390" s="19"/>
      <c r="M390" s="19"/>
      <c r="P390" s="19"/>
    </row>
    <row r="391" ht="15.75" customHeight="1">
      <c r="G391" s="19"/>
      <c r="H391" s="19"/>
      <c r="M391" s="19"/>
      <c r="P391" s="19"/>
    </row>
    <row r="392" ht="15.75" customHeight="1">
      <c r="G392" s="19"/>
      <c r="H392" s="19"/>
      <c r="M392" s="19"/>
      <c r="P392" s="19"/>
    </row>
    <row r="393" ht="15.75" customHeight="1">
      <c r="G393" s="19"/>
      <c r="H393" s="19"/>
      <c r="M393" s="19"/>
      <c r="P393" s="19"/>
    </row>
    <row r="394" ht="15.75" customHeight="1">
      <c r="G394" s="19"/>
      <c r="H394" s="19"/>
      <c r="M394" s="19"/>
      <c r="P394" s="19"/>
    </row>
    <row r="395" ht="15.75" customHeight="1">
      <c r="G395" s="19"/>
      <c r="H395" s="19"/>
      <c r="M395" s="19"/>
      <c r="P395" s="19"/>
    </row>
    <row r="396" ht="15.75" customHeight="1">
      <c r="G396" s="19"/>
      <c r="H396" s="19"/>
      <c r="M396" s="19"/>
      <c r="P396" s="19"/>
    </row>
    <row r="397" ht="15.75" customHeight="1">
      <c r="G397" s="19"/>
      <c r="H397" s="19"/>
      <c r="M397" s="19"/>
      <c r="P397" s="19"/>
    </row>
    <row r="398" ht="15.75" customHeight="1">
      <c r="G398" s="19"/>
      <c r="H398" s="19"/>
      <c r="M398" s="19"/>
      <c r="P398" s="19"/>
    </row>
    <row r="399" ht="15.75" customHeight="1">
      <c r="G399" s="19"/>
      <c r="H399" s="19"/>
      <c r="M399" s="19"/>
      <c r="P399" s="19"/>
    </row>
    <row r="400" ht="15.75" customHeight="1">
      <c r="G400" s="19"/>
      <c r="H400" s="19"/>
      <c r="M400" s="19"/>
      <c r="P400" s="19"/>
    </row>
    <row r="401" ht="15.75" customHeight="1">
      <c r="G401" s="19"/>
      <c r="H401" s="19"/>
      <c r="M401" s="19"/>
      <c r="P401" s="19"/>
    </row>
    <row r="402" ht="15.75" customHeight="1">
      <c r="G402" s="19"/>
      <c r="H402" s="19"/>
      <c r="M402" s="19"/>
      <c r="P402" s="19"/>
    </row>
    <row r="403" ht="15.75" customHeight="1">
      <c r="G403" s="19"/>
      <c r="H403" s="19"/>
      <c r="M403" s="19"/>
      <c r="P403" s="19"/>
    </row>
    <row r="404" ht="15.75" customHeight="1">
      <c r="G404" s="19"/>
      <c r="H404" s="19"/>
      <c r="M404" s="19"/>
      <c r="P404" s="19"/>
    </row>
    <row r="405" ht="15.75" customHeight="1">
      <c r="G405" s="19"/>
      <c r="H405" s="19"/>
      <c r="M405" s="19"/>
      <c r="P405" s="19"/>
    </row>
    <row r="406" ht="15.75" customHeight="1">
      <c r="G406" s="19"/>
      <c r="H406" s="19"/>
      <c r="M406" s="19"/>
      <c r="P406" s="19"/>
    </row>
    <row r="407" ht="15.75" customHeight="1">
      <c r="G407" s="19"/>
      <c r="H407" s="19"/>
      <c r="M407" s="19"/>
      <c r="P407" s="19"/>
    </row>
    <row r="408" ht="15.75" customHeight="1">
      <c r="G408" s="19"/>
      <c r="H408" s="19"/>
      <c r="M408" s="19"/>
      <c r="P408" s="19"/>
    </row>
    <row r="409" ht="15.75" customHeight="1">
      <c r="G409" s="19"/>
      <c r="H409" s="19"/>
      <c r="M409" s="19"/>
      <c r="P409" s="19"/>
    </row>
    <row r="410" ht="15.75" customHeight="1">
      <c r="G410" s="19"/>
      <c r="H410" s="19"/>
      <c r="M410" s="19"/>
      <c r="P410" s="19"/>
    </row>
    <row r="411" ht="15.75" customHeight="1">
      <c r="G411" s="19"/>
      <c r="H411" s="19"/>
      <c r="M411" s="19"/>
      <c r="P411" s="19"/>
    </row>
    <row r="412" ht="15.75" customHeight="1">
      <c r="G412" s="19"/>
      <c r="H412" s="19"/>
      <c r="M412" s="19"/>
      <c r="P412" s="19"/>
    </row>
    <row r="413" ht="15.75" customHeight="1">
      <c r="G413" s="19"/>
      <c r="H413" s="19"/>
      <c r="M413" s="19"/>
      <c r="P413" s="19"/>
    </row>
    <row r="414" ht="15.75" customHeight="1">
      <c r="G414" s="19"/>
      <c r="H414" s="19"/>
      <c r="M414" s="19"/>
      <c r="P414" s="19"/>
    </row>
    <row r="415" ht="15.75" customHeight="1">
      <c r="G415" s="19"/>
      <c r="H415" s="19"/>
      <c r="M415" s="19"/>
      <c r="P415" s="19"/>
    </row>
    <row r="416" ht="15.75" customHeight="1">
      <c r="G416" s="19"/>
      <c r="H416" s="19"/>
      <c r="M416" s="19"/>
      <c r="P416" s="19"/>
    </row>
    <row r="417" ht="15.75" customHeight="1">
      <c r="G417" s="19"/>
      <c r="H417" s="19"/>
      <c r="M417" s="19"/>
      <c r="P417" s="19"/>
    </row>
    <row r="418" ht="15.75" customHeight="1">
      <c r="G418" s="19"/>
      <c r="H418" s="19"/>
      <c r="M418" s="19"/>
      <c r="P418" s="19"/>
    </row>
    <row r="419" ht="15.75" customHeight="1">
      <c r="G419" s="19"/>
      <c r="H419" s="19"/>
      <c r="M419" s="19"/>
      <c r="P419" s="19"/>
    </row>
    <row r="420" ht="15.75" customHeight="1">
      <c r="G420" s="19"/>
      <c r="H420" s="19"/>
      <c r="M420" s="19"/>
      <c r="P420" s="19"/>
    </row>
    <row r="421" ht="15.75" customHeight="1">
      <c r="G421" s="19"/>
      <c r="H421" s="19"/>
      <c r="M421" s="19"/>
      <c r="P421" s="19"/>
    </row>
    <row r="422" ht="15.75" customHeight="1">
      <c r="G422" s="19"/>
      <c r="H422" s="19"/>
      <c r="M422" s="19"/>
      <c r="P422" s="19"/>
    </row>
    <row r="423" ht="15.75" customHeight="1">
      <c r="G423" s="19"/>
      <c r="H423" s="19"/>
      <c r="M423" s="19"/>
      <c r="P423" s="19"/>
    </row>
    <row r="424" ht="15.75" customHeight="1">
      <c r="G424" s="19"/>
      <c r="H424" s="19"/>
      <c r="M424" s="19"/>
      <c r="P424" s="19"/>
    </row>
    <row r="425" ht="15.75" customHeight="1">
      <c r="G425" s="19"/>
      <c r="H425" s="19"/>
      <c r="M425" s="19"/>
      <c r="P425" s="19"/>
    </row>
    <row r="426" ht="15.75" customHeight="1">
      <c r="G426" s="19"/>
      <c r="H426" s="19"/>
      <c r="M426" s="19"/>
      <c r="P426" s="19"/>
    </row>
    <row r="427" ht="15.75" customHeight="1">
      <c r="G427" s="19"/>
      <c r="H427" s="19"/>
      <c r="M427" s="19"/>
      <c r="P427" s="19"/>
    </row>
    <row r="428" ht="15.75" customHeight="1">
      <c r="G428" s="19"/>
      <c r="H428" s="19"/>
      <c r="M428" s="19"/>
      <c r="P428" s="19"/>
    </row>
    <row r="429" ht="15.75" customHeight="1">
      <c r="G429" s="19"/>
      <c r="H429" s="19"/>
      <c r="M429" s="19"/>
      <c r="P429" s="19"/>
    </row>
    <row r="430" ht="15.75" customHeight="1">
      <c r="G430" s="19"/>
      <c r="H430" s="19"/>
      <c r="M430" s="19"/>
      <c r="P430" s="19"/>
    </row>
    <row r="431" ht="15.75" customHeight="1">
      <c r="G431" s="19"/>
      <c r="H431" s="19"/>
      <c r="M431" s="19"/>
      <c r="P431" s="19"/>
    </row>
    <row r="432" ht="15.75" customHeight="1">
      <c r="G432" s="19"/>
      <c r="H432" s="19"/>
      <c r="M432" s="19"/>
      <c r="P432" s="19"/>
    </row>
    <row r="433" ht="15.75" customHeight="1">
      <c r="G433" s="19"/>
      <c r="H433" s="19"/>
      <c r="M433" s="19"/>
      <c r="P433" s="19"/>
    </row>
    <row r="434" ht="15.75" customHeight="1">
      <c r="G434" s="19"/>
      <c r="H434" s="19"/>
      <c r="M434" s="19"/>
      <c r="P434" s="19"/>
    </row>
    <row r="435" ht="15.75" customHeight="1">
      <c r="G435" s="19"/>
      <c r="H435" s="19"/>
      <c r="M435" s="19"/>
      <c r="P435" s="19"/>
    </row>
    <row r="436" ht="15.75" customHeight="1">
      <c r="G436" s="19"/>
      <c r="H436" s="19"/>
      <c r="M436" s="19"/>
      <c r="P436" s="19"/>
    </row>
    <row r="437" ht="15.75" customHeight="1">
      <c r="G437" s="19"/>
      <c r="H437" s="19"/>
      <c r="M437" s="19"/>
      <c r="P437" s="19"/>
    </row>
    <row r="438" ht="15.75" customHeight="1">
      <c r="G438" s="19"/>
      <c r="H438" s="19"/>
      <c r="M438" s="19"/>
      <c r="P438" s="19"/>
    </row>
    <row r="439" ht="15.75" customHeight="1">
      <c r="G439" s="19"/>
      <c r="H439" s="19"/>
      <c r="M439" s="19"/>
      <c r="P439" s="19"/>
    </row>
    <row r="440" ht="15.75" customHeight="1">
      <c r="G440" s="19"/>
      <c r="H440" s="19"/>
      <c r="M440" s="19"/>
      <c r="P440" s="19"/>
    </row>
    <row r="441" ht="15.75" customHeight="1">
      <c r="G441" s="19"/>
      <c r="H441" s="19"/>
      <c r="M441" s="19"/>
      <c r="P441" s="19"/>
    </row>
    <row r="442" ht="15.75" customHeight="1">
      <c r="G442" s="19"/>
      <c r="H442" s="19"/>
      <c r="M442" s="19"/>
      <c r="P442" s="19"/>
    </row>
    <row r="443" ht="15.75" customHeight="1">
      <c r="G443" s="19"/>
      <c r="H443" s="19"/>
      <c r="M443" s="19"/>
      <c r="P443" s="19"/>
    </row>
    <row r="444" ht="15.75" customHeight="1">
      <c r="G444" s="19"/>
      <c r="H444" s="19"/>
      <c r="M444" s="19"/>
      <c r="P444" s="19"/>
    </row>
    <row r="445" ht="15.75" customHeight="1">
      <c r="G445" s="19"/>
      <c r="H445" s="19"/>
      <c r="M445" s="19"/>
      <c r="P445" s="19"/>
    </row>
    <row r="446" ht="15.75" customHeight="1">
      <c r="G446" s="19"/>
      <c r="H446" s="19"/>
      <c r="M446" s="19"/>
      <c r="P446" s="19"/>
    </row>
    <row r="447" ht="15.75" customHeight="1">
      <c r="G447" s="19"/>
      <c r="H447" s="19"/>
      <c r="M447" s="19"/>
      <c r="P447" s="19"/>
    </row>
    <row r="448" ht="15.75" customHeight="1">
      <c r="G448" s="19"/>
      <c r="H448" s="19"/>
      <c r="M448" s="19"/>
      <c r="P448" s="19"/>
    </row>
    <row r="449" ht="15.75" customHeight="1">
      <c r="G449" s="19"/>
      <c r="H449" s="19"/>
      <c r="M449" s="19"/>
      <c r="P449" s="19"/>
    </row>
    <row r="450" ht="15.75" customHeight="1">
      <c r="G450" s="19"/>
      <c r="H450" s="19"/>
      <c r="M450" s="19"/>
      <c r="P450" s="19"/>
    </row>
    <row r="451" ht="15.75" customHeight="1">
      <c r="G451" s="19"/>
      <c r="H451" s="19"/>
      <c r="M451" s="19"/>
      <c r="P451" s="19"/>
    </row>
    <row r="452" ht="15.75" customHeight="1">
      <c r="G452" s="19"/>
      <c r="H452" s="19"/>
      <c r="M452" s="19"/>
      <c r="P452" s="19"/>
    </row>
    <row r="453" ht="15.75" customHeight="1">
      <c r="G453" s="19"/>
      <c r="H453" s="19"/>
      <c r="M453" s="19"/>
      <c r="P453" s="19"/>
    </row>
    <row r="454" ht="15.75" customHeight="1">
      <c r="G454" s="19"/>
      <c r="H454" s="19"/>
      <c r="M454" s="19"/>
      <c r="P454" s="19"/>
    </row>
    <row r="455" ht="15.75" customHeight="1">
      <c r="G455" s="19"/>
      <c r="H455" s="19"/>
      <c r="M455" s="19"/>
      <c r="P455" s="19"/>
    </row>
    <row r="456" ht="15.75" customHeight="1">
      <c r="G456" s="19"/>
      <c r="H456" s="19"/>
      <c r="M456" s="19"/>
      <c r="P456" s="19"/>
    </row>
    <row r="457" ht="15.75" customHeight="1">
      <c r="G457" s="19"/>
      <c r="H457" s="19"/>
      <c r="M457" s="19"/>
      <c r="P457" s="19"/>
    </row>
    <row r="458" ht="15.75" customHeight="1">
      <c r="G458" s="19"/>
      <c r="H458" s="19"/>
      <c r="M458" s="19"/>
      <c r="P458" s="19"/>
    </row>
    <row r="459" ht="15.75" customHeight="1">
      <c r="G459" s="19"/>
      <c r="H459" s="19"/>
      <c r="M459" s="19"/>
      <c r="P459" s="19"/>
    </row>
    <row r="460" ht="15.75" customHeight="1">
      <c r="G460" s="19"/>
      <c r="H460" s="19"/>
      <c r="M460" s="19"/>
      <c r="P460" s="19"/>
    </row>
    <row r="461" ht="15.75" customHeight="1">
      <c r="G461" s="19"/>
      <c r="H461" s="19"/>
      <c r="M461" s="19"/>
      <c r="P461" s="19"/>
    </row>
    <row r="462" ht="15.75" customHeight="1">
      <c r="G462" s="19"/>
      <c r="H462" s="19"/>
      <c r="M462" s="19"/>
      <c r="P462" s="19"/>
    </row>
    <row r="463" ht="15.75" customHeight="1">
      <c r="G463" s="19"/>
      <c r="H463" s="19"/>
      <c r="M463" s="19"/>
      <c r="P463" s="19"/>
    </row>
    <row r="464" ht="15.75" customHeight="1">
      <c r="G464" s="19"/>
      <c r="H464" s="19"/>
      <c r="M464" s="19"/>
      <c r="P464" s="19"/>
    </row>
    <row r="465" ht="15.75" customHeight="1">
      <c r="G465" s="19"/>
      <c r="H465" s="19"/>
      <c r="M465" s="19"/>
      <c r="P465" s="19"/>
    </row>
    <row r="466" ht="15.75" customHeight="1">
      <c r="G466" s="19"/>
      <c r="H466" s="19"/>
      <c r="M466" s="19"/>
      <c r="P466" s="19"/>
    </row>
    <row r="467" ht="15.75" customHeight="1">
      <c r="G467" s="19"/>
      <c r="H467" s="19"/>
      <c r="M467" s="19"/>
      <c r="P467" s="19"/>
    </row>
    <row r="468" ht="15.75" customHeight="1">
      <c r="G468" s="19"/>
      <c r="H468" s="19"/>
      <c r="M468" s="19"/>
      <c r="P468" s="19"/>
    </row>
    <row r="469" ht="15.75" customHeight="1">
      <c r="G469" s="19"/>
      <c r="H469" s="19"/>
      <c r="M469" s="19"/>
      <c r="P469" s="19"/>
    </row>
    <row r="470" ht="15.75" customHeight="1">
      <c r="G470" s="19"/>
      <c r="H470" s="19"/>
      <c r="M470" s="19"/>
      <c r="P470" s="19"/>
    </row>
    <row r="471" ht="15.75" customHeight="1">
      <c r="G471" s="19"/>
      <c r="H471" s="19"/>
      <c r="M471" s="19"/>
      <c r="P471" s="19"/>
    </row>
    <row r="472" ht="15.75" customHeight="1">
      <c r="G472" s="19"/>
      <c r="H472" s="19"/>
      <c r="M472" s="19"/>
      <c r="P472" s="19"/>
    </row>
    <row r="473" ht="15.75" customHeight="1">
      <c r="G473" s="19"/>
      <c r="H473" s="19"/>
      <c r="M473" s="19"/>
      <c r="P473" s="19"/>
    </row>
    <row r="474" ht="15.75" customHeight="1">
      <c r="G474" s="19"/>
      <c r="H474" s="19"/>
      <c r="M474" s="19"/>
      <c r="P474" s="19"/>
    </row>
    <row r="475" ht="15.75" customHeight="1">
      <c r="G475" s="19"/>
      <c r="H475" s="19"/>
      <c r="M475" s="19"/>
      <c r="P475" s="19"/>
    </row>
    <row r="476" ht="15.75" customHeight="1">
      <c r="G476" s="19"/>
      <c r="H476" s="19"/>
      <c r="M476" s="19"/>
      <c r="P476" s="19"/>
    </row>
    <row r="477" ht="15.75" customHeight="1">
      <c r="G477" s="19"/>
      <c r="H477" s="19"/>
      <c r="M477" s="19"/>
      <c r="P477" s="19"/>
    </row>
    <row r="478" ht="15.75" customHeight="1">
      <c r="G478" s="19"/>
      <c r="H478" s="19"/>
      <c r="M478" s="19"/>
      <c r="P478" s="19"/>
    </row>
    <row r="479" ht="15.75" customHeight="1">
      <c r="G479" s="19"/>
      <c r="H479" s="19"/>
      <c r="M479" s="19"/>
      <c r="P479" s="19"/>
    </row>
    <row r="480" ht="15.75" customHeight="1">
      <c r="G480" s="19"/>
      <c r="H480" s="19"/>
      <c r="M480" s="19"/>
      <c r="P480" s="19"/>
    </row>
    <row r="481" ht="15.75" customHeight="1">
      <c r="G481" s="19"/>
      <c r="H481" s="19"/>
      <c r="M481" s="19"/>
      <c r="P481" s="19"/>
    </row>
    <row r="482" ht="15.75" customHeight="1">
      <c r="G482" s="19"/>
      <c r="H482" s="19"/>
      <c r="M482" s="19"/>
      <c r="P482" s="19"/>
    </row>
    <row r="483" ht="15.75" customHeight="1">
      <c r="G483" s="19"/>
      <c r="H483" s="19"/>
      <c r="M483" s="19"/>
      <c r="P483" s="19"/>
    </row>
    <row r="484" ht="15.75" customHeight="1">
      <c r="G484" s="19"/>
      <c r="H484" s="19"/>
      <c r="M484" s="19"/>
      <c r="P484" s="19"/>
    </row>
    <row r="485" ht="15.75" customHeight="1">
      <c r="G485" s="19"/>
      <c r="H485" s="19"/>
      <c r="M485" s="19"/>
      <c r="P485" s="19"/>
    </row>
    <row r="486" ht="15.75" customHeight="1">
      <c r="G486" s="19"/>
      <c r="H486" s="19"/>
      <c r="M486" s="19"/>
      <c r="P486" s="19"/>
    </row>
    <row r="487" ht="15.75" customHeight="1">
      <c r="G487" s="19"/>
      <c r="H487" s="19"/>
      <c r="M487" s="19"/>
      <c r="P487" s="19"/>
    </row>
    <row r="488" ht="15.75" customHeight="1">
      <c r="G488" s="19"/>
      <c r="H488" s="19"/>
      <c r="M488" s="19"/>
      <c r="P488" s="19"/>
    </row>
    <row r="489" ht="15.75" customHeight="1">
      <c r="G489" s="19"/>
      <c r="H489" s="19"/>
      <c r="M489" s="19"/>
      <c r="P489" s="19"/>
    </row>
    <row r="490" ht="15.75" customHeight="1">
      <c r="G490" s="19"/>
      <c r="H490" s="19"/>
      <c r="M490" s="19"/>
      <c r="P490" s="19"/>
    </row>
    <row r="491" ht="15.75" customHeight="1">
      <c r="G491" s="19"/>
      <c r="H491" s="19"/>
      <c r="M491" s="19"/>
      <c r="P491" s="19"/>
    </row>
    <row r="492" ht="15.75" customHeight="1">
      <c r="G492" s="19"/>
      <c r="H492" s="19"/>
      <c r="M492" s="19"/>
      <c r="P492" s="19"/>
    </row>
    <row r="493" ht="15.75" customHeight="1">
      <c r="G493" s="19"/>
      <c r="H493" s="19"/>
      <c r="M493" s="19"/>
      <c r="P493" s="19"/>
    </row>
    <row r="494" ht="15.75" customHeight="1">
      <c r="G494" s="19"/>
      <c r="H494" s="19"/>
      <c r="M494" s="19"/>
      <c r="P494" s="19"/>
    </row>
    <row r="495" ht="15.75" customHeight="1">
      <c r="G495" s="19"/>
      <c r="H495" s="19"/>
      <c r="M495" s="19"/>
      <c r="P495" s="19"/>
    </row>
    <row r="496" ht="15.75" customHeight="1">
      <c r="G496" s="19"/>
      <c r="H496" s="19"/>
      <c r="M496" s="19"/>
      <c r="P496" s="19"/>
    </row>
    <row r="497" ht="15.75" customHeight="1">
      <c r="G497" s="19"/>
      <c r="H497" s="19"/>
      <c r="M497" s="19"/>
      <c r="P497" s="19"/>
    </row>
    <row r="498" ht="15.75" customHeight="1">
      <c r="G498" s="19"/>
      <c r="H498" s="19"/>
      <c r="M498" s="19"/>
      <c r="P498" s="19"/>
    </row>
    <row r="499" ht="15.75" customHeight="1">
      <c r="G499" s="19"/>
      <c r="H499" s="19"/>
      <c r="M499" s="19"/>
      <c r="P499" s="19"/>
    </row>
    <row r="500" ht="15.75" customHeight="1">
      <c r="G500" s="19"/>
      <c r="H500" s="19"/>
      <c r="M500" s="19"/>
      <c r="P500" s="19"/>
    </row>
    <row r="501" ht="15.75" customHeight="1">
      <c r="G501" s="19"/>
      <c r="H501" s="19"/>
      <c r="M501" s="19"/>
      <c r="P501" s="19"/>
    </row>
    <row r="502" ht="15.75" customHeight="1">
      <c r="G502" s="19"/>
      <c r="H502" s="19"/>
      <c r="M502" s="19"/>
      <c r="P502" s="19"/>
    </row>
    <row r="503" ht="15.75" customHeight="1">
      <c r="G503" s="19"/>
      <c r="H503" s="19"/>
      <c r="M503" s="19"/>
      <c r="P503" s="19"/>
    </row>
    <row r="504" ht="15.75" customHeight="1">
      <c r="G504" s="19"/>
      <c r="H504" s="19"/>
      <c r="M504" s="19"/>
      <c r="P504" s="19"/>
    </row>
    <row r="505" ht="15.75" customHeight="1">
      <c r="G505" s="19"/>
      <c r="H505" s="19"/>
      <c r="M505" s="19"/>
      <c r="P505" s="19"/>
    </row>
    <row r="506" ht="15.75" customHeight="1">
      <c r="G506" s="19"/>
      <c r="H506" s="19"/>
      <c r="M506" s="19"/>
      <c r="P506" s="19"/>
    </row>
    <row r="507" ht="15.75" customHeight="1">
      <c r="G507" s="19"/>
      <c r="H507" s="19"/>
      <c r="M507" s="19"/>
      <c r="P507" s="19"/>
    </row>
    <row r="508" ht="15.75" customHeight="1">
      <c r="G508" s="19"/>
      <c r="H508" s="19"/>
      <c r="M508" s="19"/>
      <c r="P508" s="19"/>
    </row>
    <row r="509" ht="15.75" customHeight="1">
      <c r="G509" s="19"/>
      <c r="H509" s="19"/>
      <c r="M509" s="19"/>
      <c r="P509" s="19"/>
    </row>
    <row r="510" ht="15.75" customHeight="1">
      <c r="G510" s="19"/>
      <c r="H510" s="19"/>
      <c r="M510" s="19"/>
      <c r="P510" s="19"/>
    </row>
    <row r="511" ht="15.75" customHeight="1">
      <c r="G511" s="19"/>
      <c r="H511" s="19"/>
      <c r="M511" s="19"/>
      <c r="P511" s="19"/>
    </row>
    <row r="512" ht="15.75" customHeight="1">
      <c r="G512" s="19"/>
      <c r="H512" s="19"/>
      <c r="M512" s="19"/>
      <c r="P512" s="19"/>
    </row>
    <row r="513" ht="15.75" customHeight="1">
      <c r="G513" s="19"/>
      <c r="H513" s="19"/>
      <c r="M513" s="19"/>
      <c r="P513" s="19"/>
    </row>
    <row r="514" ht="15.75" customHeight="1">
      <c r="G514" s="19"/>
      <c r="H514" s="19"/>
      <c r="M514" s="19"/>
      <c r="P514" s="19"/>
    </row>
    <row r="515" ht="15.75" customHeight="1">
      <c r="G515" s="19"/>
      <c r="H515" s="19"/>
      <c r="M515" s="19"/>
      <c r="P515" s="19"/>
    </row>
    <row r="516" ht="15.75" customHeight="1">
      <c r="G516" s="19"/>
      <c r="H516" s="19"/>
      <c r="M516" s="19"/>
      <c r="P516" s="19"/>
    </row>
    <row r="517" ht="15.75" customHeight="1">
      <c r="G517" s="19"/>
      <c r="H517" s="19"/>
      <c r="M517" s="19"/>
      <c r="P517" s="19"/>
    </row>
    <row r="518" ht="15.75" customHeight="1">
      <c r="G518" s="19"/>
      <c r="H518" s="19"/>
      <c r="M518" s="19"/>
      <c r="P518" s="19"/>
    </row>
    <row r="519" ht="15.75" customHeight="1">
      <c r="G519" s="19"/>
      <c r="H519" s="19"/>
      <c r="M519" s="19"/>
      <c r="P519" s="19"/>
    </row>
    <row r="520" ht="15.75" customHeight="1">
      <c r="G520" s="19"/>
      <c r="H520" s="19"/>
      <c r="M520" s="19"/>
      <c r="P520" s="19"/>
    </row>
    <row r="521" ht="15.75" customHeight="1">
      <c r="G521" s="19"/>
      <c r="H521" s="19"/>
      <c r="M521" s="19"/>
      <c r="P521" s="19"/>
    </row>
    <row r="522" ht="15.75" customHeight="1">
      <c r="G522" s="19"/>
      <c r="H522" s="19"/>
      <c r="M522" s="19"/>
      <c r="P522" s="19"/>
    </row>
    <row r="523" ht="15.75" customHeight="1">
      <c r="G523" s="19"/>
      <c r="H523" s="19"/>
      <c r="M523" s="19"/>
      <c r="P523" s="19"/>
    </row>
    <row r="524" ht="15.75" customHeight="1">
      <c r="G524" s="19"/>
      <c r="H524" s="19"/>
      <c r="M524" s="19"/>
      <c r="P524" s="19"/>
    </row>
    <row r="525" ht="15.75" customHeight="1">
      <c r="G525" s="19"/>
      <c r="H525" s="19"/>
      <c r="M525" s="19"/>
      <c r="P525" s="19"/>
    </row>
    <row r="526" ht="15.75" customHeight="1">
      <c r="G526" s="19"/>
      <c r="H526" s="19"/>
      <c r="M526" s="19"/>
      <c r="P526" s="19"/>
    </row>
    <row r="527" ht="15.75" customHeight="1">
      <c r="G527" s="19"/>
      <c r="H527" s="19"/>
      <c r="M527" s="19"/>
      <c r="P527" s="19"/>
    </row>
    <row r="528" ht="15.75" customHeight="1">
      <c r="G528" s="19"/>
      <c r="H528" s="19"/>
      <c r="M528" s="19"/>
      <c r="P528" s="19"/>
    </row>
    <row r="529" ht="15.75" customHeight="1">
      <c r="G529" s="19"/>
      <c r="H529" s="19"/>
      <c r="M529" s="19"/>
      <c r="P529" s="19"/>
    </row>
    <row r="530" ht="15.75" customHeight="1">
      <c r="G530" s="19"/>
      <c r="H530" s="19"/>
      <c r="M530" s="19"/>
      <c r="P530" s="19"/>
    </row>
    <row r="531" ht="15.75" customHeight="1">
      <c r="G531" s="19"/>
      <c r="H531" s="19"/>
      <c r="M531" s="19"/>
      <c r="P531" s="19"/>
    </row>
    <row r="532" ht="15.75" customHeight="1">
      <c r="G532" s="19"/>
      <c r="H532" s="19"/>
      <c r="M532" s="19"/>
      <c r="P532" s="19"/>
    </row>
    <row r="533" ht="15.75" customHeight="1">
      <c r="G533" s="19"/>
      <c r="H533" s="19"/>
      <c r="M533" s="19"/>
      <c r="P533" s="19"/>
    </row>
    <row r="534" ht="15.75" customHeight="1">
      <c r="G534" s="19"/>
      <c r="H534" s="19"/>
      <c r="M534" s="19"/>
      <c r="P534" s="19"/>
    </row>
    <row r="535" ht="15.75" customHeight="1">
      <c r="G535" s="19"/>
      <c r="H535" s="19"/>
      <c r="M535" s="19"/>
      <c r="P535" s="19"/>
    </row>
    <row r="536" ht="15.75" customHeight="1">
      <c r="G536" s="19"/>
      <c r="H536" s="19"/>
      <c r="M536" s="19"/>
      <c r="P536" s="19"/>
    </row>
    <row r="537" ht="15.75" customHeight="1">
      <c r="G537" s="19"/>
      <c r="H537" s="19"/>
      <c r="M537" s="19"/>
      <c r="P537" s="19"/>
    </row>
    <row r="538" ht="15.75" customHeight="1">
      <c r="G538" s="19"/>
      <c r="H538" s="19"/>
      <c r="M538" s="19"/>
      <c r="P538" s="19"/>
    </row>
    <row r="539" ht="15.75" customHeight="1">
      <c r="G539" s="19"/>
      <c r="H539" s="19"/>
      <c r="M539" s="19"/>
      <c r="P539" s="19"/>
    </row>
    <row r="540" ht="15.75" customHeight="1">
      <c r="G540" s="19"/>
      <c r="H540" s="19"/>
      <c r="M540" s="19"/>
      <c r="P540" s="19"/>
    </row>
    <row r="541" ht="15.75" customHeight="1">
      <c r="G541" s="19"/>
      <c r="H541" s="19"/>
      <c r="M541" s="19"/>
      <c r="P541" s="19"/>
    </row>
    <row r="542" ht="15.75" customHeight="1">
      <c r="G542" s="19"/>
      <c r="H542" s="19"/>
      <c r="M542" s="19"/>
      <c r="P542" s="19"/>
    </row>
    <row r="543" ht="15.75" customHeight="1">
      <c r="G543" s="19"/>
      <c r="H543" s="19"/>
      <c r="M543" s="19"/>
      <c r="P543" s="19"/>
    </row>
    <row r="544" ht="15.75" customHeight="1">
      <c r="G544" s="19"/>
      <c r="H544" s="19"/>
      <c r="M544" s="19"/>
      <c r="P544" s="19"/>
    </row>
    <row r="545" ht="15.75" customHeight="1">
      <c r="G545" s="19"/>
      <c r="H545" s="19"/>
      <c r="M545" s="19"/>
      <c r="P545" s="19"/>
    </row>
    <row r="546" ht="15.75" customHeight="1">
      <c r="G546" s="19"/>
      <c r="H546" s="19"/>
      <c r="M546" s="19"/>
      <c r="P546" s="19"/>
    </row>
    <row r="547" ht="15.75" customHeight="1">
      <c r="G547" s="19"/>
      <c r="H547" s="19"/>
      <c r="M547" s="19"/>
      <c r="P547" s="19"/>
    </row>
    <row r="548" ht="15.75" customHeight="1">
      <c r="G548" s="19"/>
      <c r="H548" s="19"/>
      <c r="M548" s="19"/>
      <c r="P548" s="19"/>
    </row>
    <row r="549" ht="15.75" customHeight="1">
      <c r="G549" s="19"/>
      <c r="H549" s="19"/>
      <c r="M549" s="19"/>
      <c r="P549" s="19"/>
    </row>
    <row r="550" ht="15.75" customHeight="1">
      <c r="G550" s="19"/>
      <c r="H550" s="19"/>
      <c r="M550" s="19"/>
      <c r="P550" s="19"/>
    </row>
    <row r="551" ht="15.75" customHeight="1">
      <c r="G551" s="19"/>
      <c r="H551" s="19"/>
      <c r="M551" s="19"/>
      <c r="P551" s="19"/>
    </row>
    <row r="552" ht="15.75" customHeight="1">
      <c r="G552" s="19"/>
      <c r="H552" s="19"/>
      <c r="M552" s="19"/>
      <c r="P552" s="19"/>
    </row>
    <row r="553" ht="15.75" customHeight="1">
      <c r="G553" s="19"/>
      <c r="H553" s="19"/>
      <c r="M553" s="19"/>
      <c r="P553" s="19"/>
    </row>
    <row r="554" ht="15.75" customHeight="1">
      <c r="G554" s="19"/>
      <c r="H554" s="19"/>
      <c r="M554" s="19"/>
      <c r="P554" s="19"/>
    </row>
    <row r="555" ht="15.75" customHeight="1">
      <c r="G555" s="19"/>
      <c r="H555" s="19"/>
      <c r="M555" s="19"/>
      <c r="P555" s="19"/>
    </row>
    <row r="556" ht="15.75" customHeight="1">
      <c r="G556" s="19"/>
      <c r="H556" s="19"/>
      <c r="M556" s="19"/>
      <c r="P556" s="19"/>
    </row>
    <row r="557" ht="15.75" customHeight="1">
      <c r="G557" s="19"/>
      <c r="H557" s="19"/>
      <c r="M557" s="19"/>
      <c r="P557" s="19"/>
    </row>
    <row r="558" ht="15.75" customHeight="1">
      <c r="G558" s="19"/>
      <c r="H558" s="19"/>
      <c r="M558" s="19"/>
      <c r="P558" s="19"/>
    </row>
    <row r="559" ht="15.75" customHeight="1">
      <c r="G559" s="19"/>
      <c r="H559" s="19"/>
      <c r="M559" s="19"/>
      <c r="P559" s="19"/>
    </row>
    <row r="560" ht="15.75" customHeight="1">
      <c r="G560" s="19"/>
      <c r="H560" s="19"/>
      <c r="M560" s="19"/>
      <c r="P560" s="19"/>
    </row>
    <row r="561" ht="15.75" customHeight="1">
      <c r="G561" s="19"/>
      <c r="H561" s="19"/>
      <c r="M561" s="19"/>
      <c r="P561" s="19"/>
    </row>
    <row r="562" ht="15.75" customHeight="1">
      <c r="G562" s="19"/>
      <c r="H562" s="19"/>
      <c r="M562" s="19"/>
      <c r="P562" s="19"/>
    </row>
    <row r="563" ht="15.75" customHeight="1">
      <c r="G563" s="19"/>
      <c r="H563" s="19"/>
      <c r="M563" s="19"/>
      <c r="P563" s="19"/>
    </row>
    <row r="564" ht="15.75" customHeight="1">
      <c r="G564" s="19"/>
      <c r="H564" s="19"/>
      <c r="M564" s="19"/>
      <c r="P564" s="19"/>
    </row>
    <row r="565" ht="15.75" customHeight="1">
      <c r="G565" s="19"/>
      <c r="H565" s="19"/>
      <c r="M565" s="19"/>
      <c r="P565" s="19"/>
    </row>
    <row r="566" ht="15.75" customHeight="1">
      <c r="G566" s="19"/>
      <c r="H566" s="19"/>
      <c r="M566" s="19"/>
      <c r="P566" s="19"/>
    </row>
    <row r="567" ht="15.75" customHeight="1">
      <c r="G567" s="19"/>
      <c r="H567" s="19"/>
      <c r="M567" s="19"/>
      <c r="P567" s="19"/>
    </row>
    <row r="568" ht="15.75" customHeight="1">
      <c r="G568" s="19"/>
      <c r="H568" s="19"/>
      <c r="M568" s="19"/>
      <c r="P568" s="19"/>
    </row>
    <row r="569" ht="15.75" customHeight="1">
      <c r="G569" s="19"/>
      <c r="H569" s="19"/>
      <c r="M569" s="19"/>
      <c r="P569" s="19"/>
    </row>
    <row r="570" ht="15.75" customHeight="1">
      <c r="G570" s="19"/>
      <c r="H570" s="19"/>
      <c r="M570" s="19"/>
      <c r="P570" s="19"/>
    </row>
    <row r="571" ht="15.75" customHeight="1">
      <c r="G571" s="19"/>
      <c r="H571" s="19"/>
      <c r="M571" s="19"/>
      <c r="P571" s="19"/>
    </row>
    <row r="572" ht="15.75" customHeight="1">
      <c r="G572" s="19"/>
      <c r="H572" s="19"/>
      <c r="M572" s="19"/>
      <c r="P572" s="19"/>
    </row>
    <row r="573" ht="15.75" customHeight="1">
      <c r="G573" s="19"/>
      <c r="H573" s="19"/>
      <c r="M573" s="19"/>
      <c r="P573" s="19"/>
    </row>
    <row r="574" ht="15.75" customHeight="1">
      <c r="G574" s="19"/>
      <c r="H574" s="19"/>
      <c r="M574" s="19"/>
      <c r="P574" s="19"/>
    </row>
    <row r="575" ht="15.75" customHeight="1">
      <c r="G575" s="19"/>
      <c r="H575" s="19"/>
      <c r="M575" s="19"/>
      <c r="P575" s="19"/>
    </row>
    <row r="576" ht="15.75" customHeight="1">
      <c r="G576" s="19"/>
      <c r="H576" s="19"/>
      <c r="M576" s="19"/>
      <c r="P576" s="19"/>
    </row>
    <row r="577" ht="15.75" customHeight="1">
      <c r="G577" s="19"/>
      <c r="H577" s="19"/>
      <c r="M577" s="19"/>
      <c r="P577" s="19"/>
    </row>
    <row r="578" ht="15.75" customHeight="1">
      <c r="G578" s="19"/>
      <c r="H578" s="19"/>
      <c r="M578" s="19"/>
      <c r="P578" s="19"/>
    </row>
    <row r="579" ht="15.75" customHeight="1">
      <c r="G579" s="19"/>
      <c r="H579" s="19"/>
      <c r="M579" s="19"/>
      <c r="P579" s="19"/>
    </row>
    <row r="580" ht="15.75" customHeight="1">
      <c r="G580" s="19"/>
      <c r="H580" s="19"/>
      <c r="M580" s="19"/>
      <c r="P580" s="19"/>
    </row>
    <row r="581" ht="15.75" customHeight="1">
      <c r="G581" s="19"/>
      <c r="H581" s="19"/>
      <c r="M581" s="19"/>
      <c r="P581" s="19"/>
    </row>
    <row r="582" ht="15.75" customHeight="1">
      <c r="G582" s="19"/>
      <c r="H582" s="19"/>
      <c r="M582" s="19"/>
      <c r="P582" s="19"/>
    </row>
    <row r="583" ht="15.75" customHeight="1">
      <c r="G583" s="19"/>
      <c r="H583" s="19"/>
      <c r="M583" s="19"/>
      <c r="P583" s="19"/>
    </row>
    <row r="584" ht="15.75" customHeight="1">
      <c r="G584" s="19"/>
      <c r="H584" s="19"/>
      <c r="M584" s="19"/>
      <c r="P584" s="19"/>
    </row>
    <row r="585" ht="15.75" customHeight="1">
      <c r="G585" s="19"/>
      <c r="H585" s="19"/>
      <c r="M585" s="19"/>
      <c r="P585" s="19"/>
    </row>
    <row r="586" ht="15.75" customHeight="1">
      <c r="G586" s="19"/>
      <c r="H586" s="19"/>
      <c r="M586" s="19"/>
      <c r="P586" s="19"/>
    </row>
    <row r="587" ht="15.75" customHeight="1">
      <c r="G587" s="19"/>
      <c r="H587" s="19"/>
      <c r="M587" s="19"/>
      <c r="P587" s="19"/>
    </row>
    <row r="588" ht="15.75" customHeight="1">
      <c r="G588" s="19"/>
      <c r="H588" s="19"/>
      <c r="M588" s="19"/>
      <c r="P588" s="19"/>
    </row>
    <row r="589" ht="15.75" customHeight="1">
      <c r="G589" s="19"/>
      <c r="H589" s="19"/>
      <c r="M589" s="19"/>
      <c r="P589" s="19"/>
    </row>
    <row r="590" ht="15.75" customHeight="1">
      <c r="G590" s="19"/>
      <c r="H590" s="19"/>
      <c r="M590" s="19"/>
      <c r="P590" s="19"/>
    </row>
    <row r="591" ht="15.75" customHeight="1">
      <c r="G591" s="19"/>
      <c r="H591" s="19"/>
      <c r="M591" s="19"/>
      <c r="P591" s="19"/>
    </row>
    <row r="592" ht="15.75" customHeight="1">
      <c r="G592" s="19"/>
      <c r="H592" s="19"/>
      <c r="M592" s="19"/>
      <c r="P592" s="19"/>
    </row>
    <row r="593" ht="15.75" customHeight="1">
      <c r="G593" s="19"/>
      <c r="H593" s="19"/>
      <c r="M593" s="19"/>
      <c r="P593" s="19"/>
    </row>
    <row r="594" ht="15.75" customHeight="1">
      <c r="G594" s="19"/>
      <c r="H594" s="19"/>
      <c r="M594" s="19"/>
      <c r="P594" s="19"/>
    </row>
    <row r="595" ht="15.75" customHeight="1">
      <c r="G595" s="19"/>
      <c r="H595" s="19"/>
      <c r="M595" s="19"/>
      <c r="P595" s="19"/>
    </row>
    <row r="596" ht="15.75" customHeight="1">
      <c r="G596" s="19"/>
      <c r="H596" s="19"/>
      <c r="M596" s="19"/>
      <c r="P596" s="19"/>
    </row>
    <row r="597" ht="15.75" customHeight="1">
      <c r="G597" s="19"/>
      <c r="H597" s="19"/>
      <c r="M597" s="19"/>
      <c r="P597" s="19"/>
    </row>
    <row r="598" ht="15.75" customHeight="1">
      <c r="G598" s="19"/>
      <c r="H598" s="19"/>
      <c r="M598" s="19"/>
      <c r="P598" s="19"/>
    </row>
    <row r="599" ht="15.75" customHeight="1">
      <c r="G599" s="19"/>
      <c r="H599" s="19"/>
      <c r="M599" s="19"/>
      <c r="P599" s="19"/>
    </row>
    <row r="600" ht="15.75" customHeight="1">
      <c r="G600" s="19"/>
      <c r="H600" s="19"/>
      <c r="M600" s="19"/>
      <c r="P600" s="19"/>
    </row>
    <row r="601" ht="15.75" customHeight="1">
      <c r="G601" s="19"/>
      <c r="H601" s="19"/>
      <c r="M601" s="19"/>
      <c r="P601" s="19"/>
    </row>
    <row r="602" ht="15.75" customHeight="1">
      <c r="G602" s="19"/>
      <c r="H602" s="19"/>
      <c r="M602" s="19"/>
      <c r="P602" s="19"/>
    </row>
    <row r="603" ht="15.75" customHeight="1">
      <c r="G603" s="19"/>
      <c r="H603" s="19"/>
      <c r="M603" s="19"/>
      <c r="P603" s="19"/>
    </row>
    <row r="604" ht="15.75" customHeight="1">
      <c r="G604" s="19"/>
      <c r="H604" s="19"/>
      <c r="M604" s="19"/>
      <c r="P604" s="19"/>
    </row>
    <row r="605" ht="15.75" customHeight="1">
      <c r="G605" s="19"/>
      <c r="H605" s="19"/>
      <c r="M605" s="19"/>
      <c r="P605" s="19"/>
    </row>
    <row r="606" ht="15.75" customHeight="1">
      <c r="G606" s="19"/>
      <c r="H606" s="19"/>
      <c r="M606" s="19"/>
      <c r="P606" s="19"/>
    </row>
    <row r="607" ht="15.75" customHeight="1">
      <c r="G607" s="19"/>
      <c r="H607" s="19"/>
      <c r="M607" s="19"/>
      <c r="P607" s="19"/>
    </row>
    <row r="608" ht="15.75" customHeight="1">
      <c r="G608" s="19"/>
      <c r="H608" s="19"/>
      <c r="M608" s="19"/>
      <c r="P608" s="19"/>
    </row>
    <row r="609" ht="15.75" customHeight="1">
      <c r="G609" s="19"/>
      <c r="H609" s="19"/>
      <c r="M609" s="19"/>
      <c r="P609" s="19"/>
    </row>
    <row r="610" ht="15.75" customHeight="1">
      <c r="G610" s="19"/>
      <c r="H610" s="19"/>
      <c r="M610" s="19"/>
      <c r="P610" s="19"/>
    </row>
    <row r="611" ht="15.75" customHeight="1">
      <c r="G611" s="19"/>
      <c r="H611" s="19"/>
      <c r="M611" s="19"/>
      <c r="P611" s="19"/>
    </row>
    <row r="612" ht="15.75" customHeight="1">
      <c r="G612" s="19"/>
      <c r="H612" s="19"/>
      <c r="M612" s="19"/>
      <c r="P612" s="19"/>
    </row>
    <row r="613" ht="15.75" customHeight="1">
      <c r="G613" s="19"/>
      <c r="H613" s="19"/>
      <c r="M613" s="19"/>
      <c r="P613" s="19"/>
    </row>
    <row r="614" ht="15.75" customHeight="1">
      <c r="G614" s="19"/>
      <c r="H614" s="19"/>
      <c r="M614" s="19"/>
      <c r="P614" s="19"/>
    </row>
    <row r="615" ht="15.75" customHeight="1">
      <c r="G615" s="19"/>
      <c r="H615" s="19"/>
      <c r="M615" s="19"/>
      <c r="P615" s="19"/>
    </row>
    <row r="616" ht="15.75" customHeight="1">
      <c r="G616" s="19"/>
      <c r="H616" s="19"/>
      <c r="M616" s="19"/>
      <c r="P616" s="19"/>
    </row>
    <row r="617" ht="15.75" customHeight="1">
      <c r="G617" s="19"/>
      <c r="H617" s="19"/>
      <c r="M617" s="19"/>
      <c r="P617" s="19"/>
    </row>
    <row r="618" ht="15.75" customHeight="1">
      <c r="G618" s="19"/>
      <c r="H618" s="19"/>
      <c r="M618" s="19"/>
      <c r="P618" s="19"/>
    </row>
    <row r="619" ht="15.75" customHeight="1">
      <c r="G619" s="19"/>
      <c r="H619" s="19"/>
      <c r="M619" s="19"/>
      <c r="P619" s="19"/>
    </row>
    <row r="620" ht="15.75" customHeight="1">
      <c r="G620" s="19"/>
      <c r="H620" s="19"/>
      <c r="M620" s="19"/>
      <c r="P620" s="19"/>
    </row>
    <row r="621" ht="15.75" customHeight="1">
      <c r="G621" s="19"/>
      <c r="H621" s="19"/>
      <c r="M621" s="19"/>
      <c r="P621" s="19"/>
    </row>
    <row r="622" ht="15.75" customHeight="1">
      <c r="G622" s="19"/>
      <c r="H622" s="19"/>
      <c r="M622" s="19"/>
      <c r="P622" s="19"/>
    </row>
    <row r="623" ht="15.75" customHeight="1">
      <c r="G623" s="19"/>
      <c r="H623" s="19"/>
      <c r="M623" s="19"/>
      <c r="P623" s="19"/>
    </row>
    <row r="624" ht="15.75" customHeight="1">
      <c r="G624" s="19"/>
      <c r="H624" s="19"/>
      <c r="M624" s="19"/>
      <c r="P624" s="19"/>
    </row>
    <row r="625" ht="15.75" customHeight="1">
      <c r="G625" s="19"/>
      <c r="H625" s="19"/>
      <c r="M625" s="19"/>
      <c r="P625" s="19"/>
    </row>
    <row r="626" ht="15.75" customHeight="1">
      <c r="G626" s="19"/>
      <c r="H626" s="19"/>
      <c r="M626" s="19"/>
      <c r="P626" s="19"/>
    </row>
    <row r="627" ht="15.75" customHeight="1">
      <c r="G627" s="19"/>
      <c r="H627" s="19"/>
      <c r="M627" s="19"/>
      <c r="P627" s="19"/>
    </row>
    <row r="628" ht="15.75" customHeight="1">
      <c r="G628" s="19"/>
      <c r="H628" s="19"/>
      <c r="M628" s="19"/>
      <c r="P628" s="19"/>
    </row>
    <row r="629" ht="15.75" customHeight="1">
      <c r="G629" s="19"/>
      <c r="H629" s="19"/>
      <c r="M629" s="19"/>
      <c r="P629" s="19"/>
    </row>
    <row r="630" ht="15.75" customHeight="1">
      <c r="G630" s="19"/>
      <c r="H630" s="19"/>
      <c r="M630" s="19"/>
      <c r="P630" s="19"/>
    </row>
    <row r="631" ht="15.75" customHeight="1">
      <c r="G631" s="19"/>
      <c r="H631" s="19"/>
      <c r="M631" s="19"/>
      <c r="P631" s="19"/>
    </row>
    <row r="632" ht="15.75" customHeight="1">
      <c r="G632" s="19"/>
      <c r="H632" s="19"/>
      <c r="M632" s="19"/>
      <c r="P632" s="19"/>
    </row>
    <row r="633" ht="15.75" customHeight="1">
      <c r="G633" s="19"/>
      <c r="H633" s="19"/>
      <c r="M633" s="19"/>
      <c r="P633" s="19"/>
    </row>
    <row r="634" ht="15.75" customHeight="1">
      <c r="G634" s="19"/>
      <c r="H634" s="19"/>
      <c r="M634" s="19"/>
      <c r="P634" s="19"/>
    </row>
    <row r="635" ht="15.75" customHeight="1">
      <c r="G635" s="19"/>
      <c r="H635" s="19"/>
      <c r="M635" s="19"/>
      <c r="P635" s="19"/>
    </row>
    <row r="636" ht="15.75" customHeight="1">
      <c r="G636" s="19"/>
      <c r="H636" s="19"/>
      <c r="M636" s="19"/>
      <c r="P636" s="19"/>
    </row>
    <row r="637" ht="15.75" customHeight="1">
      <c r="G637" s="19"/>
      <c r="H637" s="19"/>
      <c r="M637" s="19"/>
      <c r="P637" s="19"/>
    </row>
    <row r="638" ht="15.75" customHeight="1">
      <c r="G638" s="19"/>
      <c r="H638" s="19"/>
      <c r="M638" s="19"/>
      <c r="P638" s="19"/>
    </row>
    <row r="639" ht="15.75" customHeight="1">
      <c r="G639" s="19"/>
      <c r="H639" s="19"/>
      <c r="M639" s="19"/>
      <c r="P639" s="19"/>
    </row>
    <row r="640" ht="15.75" customHeight="1">
      <c r="G640" s="19"/>
      <c r="H640" s="19"/>
      <c r="M640" s="19"/>
      <c r="P640" s="19"/>
    </row>
    <row r="641" ht="15.75" customHeight="1">
      <c r="G641" s="19"/>
      <c r="H641" s="19"/>
      <c r="M641" s="19"/>
      <c r="P641" s="19"/>
    </row>
    <row r="642" ht="15.75" customHeight="1">
      <c r="G642" s="19"/>
      <c r="H642" s="19"/>
      <c r="M642" s="19"/>
      <c r="P642" s="19"/>
    </row>
    <row r="643" ht="15.75" customHeight="1">
      <c r="G643" s="19"/>
      <c r="H643" s="19"/>
      <c r="M643" s="19"/>
      <c r="P643" s="19"/>
    </row>
    <row r="644" ht="15.75" customHeight="1">
      <c r="G644" s="19"/>
      <c r="H644" s="19"/>
      <c r="M644" s="19"/>
      <c r="P644" s="19"/>
    </row>
    <row r="645" ht="15.75" customHeight="1">
      <c r="G645" s="19"/>
      <c r="H645" s="19"/>
      <c r="M645" s="19"/>
      <c r="P645" s="19"/>
    </row>
    <row r="646" ht="15.75" customHeight="1">
      <c r="G646" s="19"/>
      <c r="H646" s="19"/>
      <c r="M646" s="19"/>
      <c r="P646" s="19"/>
    </row>
    <row r="647" ht="15.75" customHeight="1">
      <c r="G647" s="19"/>
      <c r="H647" s="19"/>
      <c r="M647" s="19"/>
      <c r="P647" s="19"/>
    </row>
    <row r="648" ht="15.75" customHeight="1">
      <c r="G648" s="19"/>
      <c r="H648" s="19"/>
      <c r="M648" s="19"/>
      <c r="P648" s="19"/>
    </row>
    <row r="649" ht="15.75" customHeight="1">
      <c r="G649" s="19"/>
      <c r="H649" s="19"/>
      <c r="M649" s="19"/>
      <c r="P649" s="19"/>
    </row>
    <row r="650" ht="15.75" customHeight="1">
      <c r="G650" s="19"/>
      <c r="H650" s="19"/>
      <c r="M650" s="19"/>
      <c r="P650" s="19"/>
    </row>
    <row r="651" ht="15.75" customHeight="1">
      <c r="G651" s="19"/>
      <c r="H651" s="19"/>
      <c r="M651" s="19"/>
      <c r="P651" s="19"/>
    </row>
    <row r="652" ht="15.75" customHeight="1">
      <c r="G652" s="19"/>
      <c r="H652" s="19"/>
      <c r="M652" s="19"/>
      <c r="P652" s="19"/>
    </row>
    <row r="653" ht="15.75" customHeight="1">
      <c r="G653" s="19"/>
      <c r="H653" s="19"/>
      <c r="M653" s="19"/>
      <c r="P653" s="19"/>
    </row>
    <row r="654" ht="15.75" customHeight="1">
      <c r="G654" s="19"/>
      <c r="H654" s="19"/>
      <c r="M654" s="19"/>
      <c r="P654" s="19"/>
    </row>
    <row r="655" ht="15.75" customHeight="1">
      <c r="G655" s="19"/>
      <c r="H655" s="19"/>
      <c r="M655" s="19"/>
      <c r="P655" s="19"/>
    </row>
    <row r="656" ht="15.75" customHeight="1">
      <c r="G656" s="19"/>
      <c r="H656" s="19"/>
      <c r="M656" s="19"/>
      <c r="P656" s="19"/>
    </row>
    <row r="657" ht="15.75" customHeight="1">
      <c r="G657" s="19"/>
      <c r="H657" s="19"/>
      <c r="M657" s="19"/>
      <c r="P657" s="19"/>
    </row>
    <row r="658" ht="15.75" customHeight="1">
      <c r="G658" s="19"/>
      <c r="H658" s="19"/>
      <c r="M658" s="19"/>
      <c r="P658" s="19"/>
    </row>
    <row r="659" ht="15.75" customHeight="1">
      <c r="G659" s="19"/>
      <c r="H659" s="19"/>
      <c r="M659" s="19"/>
      <c r="P659" s="19"/>
    </row>
    <row r="660" ht="15.75" customHeight="1">
      <c r="G660" s="19"/>
      <c r="H660" s="19"/>
      <c r="M660" s="19"/>
      <c r="P660" s="19"/>
    </row>
    <row r="661" ht="15.75" customHeight="1">
      <c r="G661" s="19"/>
      <c r="H661" s="19"/>
      <c r="M661" s="19"/>
      <c r="P661" s="19"/>
    </row>
    <row r="662" ht="15.75" customHeight="1">
      <c r="G662" s="19"/>
      <c r="H662" s="19"/>
      <c r="M662" s="19"/>
      <c r="P662" s="19"/>
    </row>
    <row r="663" ht="15.75" customHeight="1">
      <c r="G663" s="19"/>
      <c r="H663" s="19"/>
      <c r="M663" s="19"/>
      <c r="P663" s="19"/>
    </row>
    <row r="664" ht="15.75" customHeight="1">
      <c r="G664" s="19"/>
      <c r="H664" s="19"/>
      <c r="M664" s="19"/>
      <c r="P664" s="19"/>
    </row>
    <row r="665" ht="15.75" customHeight="1">
      <c r="G665" s="19"/>
      <c r="H665" s="19"/>
      <c r="M665" s="19"/>
      <c r="P665" s="19"/>
    </row>
    <row r="666" ht="15.75" customHeight="1">
      <c r="G666" s="19"/>
      <c r="H666" s="19"/>
      <c r="M666" s="19"/>
      <c r="P666" s="19"/>
    </row>
    <row r="667" ht="15.75" customHeight="1">
      <c r="G667" s="19"/>
      <c r="H667" s="19"/>
      <c r="M667" s="19"/>
      <c r="P667" s="19"/>
    </row>
    <row r="668" ht="15.75" customHeight="1">
      <c r="G668" s="19"/>
      <c r="H668" s="19"/>
      <c r="M668" s="19"/>
      <c r="P668" s="19"/>
    </row>
    <row r="669" ht="15.75" customHeight="1">
      <c r="G669" s="19"/>
      <c r="H669" s="19"/>
      <c r="M669" s="19"/>
      <c r="P669" s="19"/>
    </row>
    <row r="670" ht="15.75" customHeight="1">
      <c r="G670" s="19"/>
      <c r="H670" s="19"/>
      <c r="M670" s="19"/>
      <c r="P670" s="19"/>
    </row>
    <row r="671" ht="15.75" customHeight="1">
      <c r="G671" s="19"/>
      <c r="H671" s="19"/>
      <c r="M671" s="19"/>
      <c r="P671" s="19"/>
    </row>
    <row r="672" ht="15.75" customHeight="1">
      <c r="G672" s="19"/>
      <c r="H672" s="19"/>
      <c r="M672" s="19"/>
      <c r="P672" s="19"/>
    </row>
    <row r="673" ht="15.75" customHeight="1">
      <c r="G673" s="19"/>
      <c r="H673" s="19"/>
      <c r="M673" s="19"/>
      <c r="P673" s="19"/>
    </row>
    <row r="674" ht="15.75" customHeight="1">
      <c r="G674" s="19"/>
      <c r="H674" s="19"/>
      <c r="M674" s="19"/>
      <c r="P674" s="19"/>
    </row>
    <row r="675" ht="15.75" customHeight="1">
      <c r="G675" s="19"/>
      <c r="H675" s="19"/>
      <c r="M675" s="19"/>
      <c r="P675" s="19"/>
    </row>
    <row r="676" ht="15.75" customHeight="1">
      <c r="G676" s="19"/>
      <c r="H676" s="19"/>
      <c r="M676" s="19"/>
      <c r="P676" s="19"/>
    </row>
    <row r="677" ht="15.75" customHeight="1">
      <c r="G677" s="19"/>
      <c r="H677" s="19"/>
      <c r="M677" s="19"/>
      <c r="P677" s="19"/>
    </row>
    <row r="678" ht="15.75" customHeight="1">
      <c r="G678" s="19"/>
      <c r="H678" s="19"/>
      <c r="M678" s="19"/>
      <c r="P678" s="19"/>
    </row>
    <row r="679" ht="15.75" customHeight="1">
      <c r="G679" s="19"/>
      <c r="H679" s="19"/>
      <c r="M679" s="19"/>
      <c r="P679" s="19"/>
    </row>
    <row r="680" ht="15.75" customHeight="1">
      <c r="G680" s="19"/>
      <c r="H680" s="19"/>
      <c r="M680" s="19"/>
      <c r="P680" s="19"/>
    </row>
    <row r="681" ht="15.75" customHeight="1">
      <c r="G681" s="19"/>
      <c r="H681" s="19"/>
      <c r="M681" s="19"/>
      <c r="P681" s="19"/>
    </row>
    <row r="682" ht="15.75" customHeight="1">
      <c r="G682" s="19"/>
      <c r="H682" s="19"/>
      <c r="M682" s="19"/>
      <c r="P682" s="19"/>
    </row>
    <row r="683" ht="15.75" customHeight="1">
      <c r="G683" s="19"/>
      <c r="H683" s="19"/>
      <c r="M683" s="19"/>
      <c r="P683" s="19"/>
    </row>
    <row r="684" ht="15.75" customHeight="1">
      <c r="G684" s="19"/>
      <c r="H684" s="19"/>
      <c r="M684" s="19"/>
      <c r="P684" s="19"/>
    </row>
    <row r="685" ht="15.75" customHeight="1">
      <c r="G685" s="19"/>
      <c r="H685" s="19"/>
      <c r="M685" s="19"/>
      <c r="P685" s="19"/>
    </row>
    <row r="686" ht="15.75" customHeight="1">
      <c r="G686" s="19"/>
      <c r="H686" s="19"/>
      <c r="M686" s="19"/>
      <c r="P686" s="19"/>
    </row>
    <row r="687" ht="15.75" customHeight="1">
      <c r="G687" s="19"/>
      <c r="H687" s="19"/>
      <c r="M687" s="19"/>
      <c r="P687" s="19"/>
    </row>
    <row r="688" ht="15.75" customHeight="1">
      <c r="G688" s="19"/>
      <c r="H688" s="19"/>
      <c r="M688" s="19"/>
      <c r="P688" s="19"/>
    </row>
    <row r="689" ht="15.75" customHeight="1">
      <c r="G689" s="19"/>
      <c r="H689" s="19"/>
      <c r="M689" s="19"/>
      <c r="P689" s="19"/>
    </row>
    <row r="690" ht="15.75" customHeight="1">
      <c r="G690" s="19"/>
      <c r="H690" s="19"/>
      <c r="M690" s="19"/>
      <c r="P690" s="19"/>
    </row>
    <row r="691" ht="15.75" customHeight="1">
      <c r="G691" s="19"/>
      <c r="H691" s="19"/>
      <c r="M691" s="19"/>
      <c r="P691" s="19"/>
    </row>
    <row r="692" ht="15.75" customHeight="1">
      <c r="G692" s="19"/>
      <c r="H692" s="19"/>
      <c r="M692" s="19"/>
      <c r="P692" s="19"/>
    </row>
    <row r="693" ht="15.75" customHeight="1">
      <c r="G693" s="19"/>
      <c r="H693" s="19"/>
      <c r="M693" s="19"/>
      <c r="P693" s="19"/>
    </row>
    <row r="694" ht="15.75" customHeight="1">
      <c r="G694" s="19"/>
      <c r="H694" s="19"/>
      <c r="M694" s="19"/>
      <c r="P694" s="19"/>
    </row>
    <row r="695" ht="15.75" customHeight="1">
      <c r="G695" s="19"/>
      <c r="H695" s="19"/>
      <c r="M695" s="19"/>
      <c r="P695" s="19"/>
    </row>
    <row r="696" ht="15.75" customHeight="1">
      <c r="G696" s="19"/>
      <c r="H696" s="19"/>
      <c r="M696" s="19"/>
      <c r="P696" s="19"/>
    </row>
    <row r="697" ht="15.75" customHeight="1">
      <c r="G697" s="19"/>
      <c r="H697" s="19"/>
      <c r="M697" s="19"/>
      <c r="P697" s="19"/>
    </row>
    <row r="698" ht="15.75" customHeight="1">
      <c r="G698" s="19"/>
      <c r="H698" s="19"/>
      <c r="M698" s="19"/>
      <c r="P698" s="19"/>
    </row>
    <row r="699" ht="15.75" customHeight="1">
      <c r="G699" s="19"/>
      <c r="H699" s="19"/>
      <c r="M699" s="19"/>
      <c r="P699" s="19"/>
    </row>
    <row r="700" ht="15.75" customHeight="1">
      <c r="G700" s="19"/>
      <c r="H700" s="19"/>
      <c r="M700" s="19"/>
      <c r="P700" s="19"/>
    </row>
    <row r="701" ht="15.75" customHeight="1">
      <c r="G701" s="19"/>
      <c r="H701" s="19"/>
      <c r="M701" s="19"/>
      <c r="P701" s="19"/>
    </row>
    <row r="702" ht="15.75" customHeight="1">
      <c r="G702" s="19"/>
      <c r="H702" s="19"/>
      <c r="M702" s="19"/>
      <c r="P702" s="19"/>
    </row>
    <row r="703" ht="15.75" customHeight="1">
      <c r="G703" s="19"/>
      <c r="H703" s="19"/>
      <c r="M703" s="19"/>
      <c r="P703" s="19"/>
    </row>
    <row r="704" ht="15.75" customHeight="1">
      <c r="G704" s="19"/>
      <c r="H704" s="19"/>
      <c r="M704" s="19"/>
      <c r="P704" s="19"/>
    </row>
    <row r="705" ht="15.75" customHeight="1">
      <c r="G705" s="19"/>
      <c r="H705" s="19"/>
      <c r="M705" s="19"/>
      <c r="P705" s="19"/>
    </row>
    <row r="706" ht="15.75" customHeight="1">
      <c r="G706" s="19"/>
      <c r="H706" s="19"/>
      <c r="M706" s="19"/>
      <c r="P706" s="19"/>
    </row>
    <row r="707" ht="15.75" customHeight="1">
      <c r="G707" s="19"/>
      <c r="H707" s="19"/>
      <c r="M707" s="19"/>
      <c r="P707" s="19"/>
    </row>
    <row r="708" ht="15.75" customHeight="1">
      <c r="G708" s="19"/>
      <c r="H708" s="19"/>
      <c r="M708" s="19"/>
      <c r="P708" s="19"/>
    </row>
    <row r="709" ht="15.75" customHeight="1">
      <c r="G709" s="19"/>
      <c r="H709" s="19"/>
      <c r="M709" s="19"/>
      <c r="P709" s="19"/>
    </row>
    <row r="710" ht="15.75" customHeight="1">
      <c r="G710" s="19"/>
      <c r="H710" s="19"/>
      <c r="M710" s="19"/>
      <c r="P710" s="19"/>
    </row>
    <row r="711" ht="15.75" customHeight="1">
      <c r="G711" s="19"/>
      <c r="H711" s="19"/>
      <c r="M711" s="19"/>
      <c r="P711" s="19"/>
    </row>
    <row r="712" ht="15.75" customHeight="1">
      <c r="G712" s="19"/>
      <c r="H712" s="19"/>
      <c r="M712" s="19"/>
      <c r="P712" s="19"/>
    </row>
    <row r="713" ht="15.75" customHeight="1">
      <c r="G713" s="19"/>
      <c r="H713" s="19"/>
      <c r="M713" s="19"/>
      <c r="P713" s="19"/>
    </row>
    <row r="714" ht="15.75" customHeight="1">
      <c r="G714" s="19"/>
      <c r="H714" s="19"/>
      <c r="M714" s="19"/>
      <c r="P714" s="19"/>
    </row>
    <row r="715" ht="15.75" customHeight="1">
      <c r="G715" s="19"/>
      <c r="H715" s="19"/>
      <c r="M715" s="19"/>
      <c r="P715" s="19"/>
    </row>
    <row r="716" ht="15.75" customHeight="1">
      <c r="G716" s="19"/>
      <c r="H716" s="19"/>
      <c r="M716" s="19"/>
      <c r="P716" s="19"/>
    </row>
    <row r="717" ht="15.75" customHeight="1">
      <c r="G717" s="19"/>
      <c r="H717" s="19"/>
      <c r="M717" s="19"/>
      <c r="P717" s="19"/>
    </row>
    <row r="718" ht="15.75" customHeight="1">
      <c r="G718" s="19"/>
      <c r="H718" s="19"/>
      <c r="M718" s="19"/>
      <c r="P718" s="19"/>
    </row>
    <row r="719" ht="15.75" customHeight="1">
      <c r="G719" s="19"/>
      <c r="H719" s="19"/>
      <c r="M719" s="19"/>
      <c r="P719" s="19"/>
    </row>
    <row r="720" ht="15.75" customHeight="1">
      <c r="G720" s="19"/>
      <c r="H720" s="19"/>
      <c r="M720" s="19"/>
      <c r="P720" s="19"/>
    </row>
    <row r="721" ht="15.75" customHeight="1">
      <c r="G721" s="19"/>
      <c r="H721" s="19"/>
      <c r="M721" s="19"/>
      <c r="P721" s="19"/>
    </row>
    <row r="722" ht="15.75" customHeight="1">
      <c r="G722" s="19"/>
      <c r="H722" s="19"/>
      <c r="M722" s="19"/>
      <c r="P722" s="19"/>
    </row>
    <row r="723" ht="15.75" customHeight="1">
      <c r="G723" s="19"/>
      <c r="H723" s="19"/>
      <c r="M723" s="19"/>
      <c r="P723" s="19"/>
    </row>
    <row r="724" ht="15.75" customHeight="1">
      <c r="G724" s="19"/>
      <c r="H724" s="19"/>
      <c r="M724" s="19"/>
      <c r="P724" s="19"/>
    </row>
    <row r="725" ht="15.75" customHeight="1">
      <c r="G725" s="19"/>
      <c r="H725" s="19"/>
      <c r="M725" s="19"/>
      <c r="P725" s="19"/>
    </row>
    <row r="726" ht="15.75" customHeight="1">
      <c r="G726" s="19"/>
      <c r="H726" s="19"/>
      <c r="M726" s="19"/>
      <c r="P726" s="19"/>
    </row>
    <row r="727" ht="15.75" customHeight="1">
      <c r="G727" s="19"/>
      <c r="H727" s="19"/>
      <c r="M727" s="19"/>
      <c r="P727" s="19"/>
    </row>
    <row r="728" ht="15.75" customHeight="1">
      <c r="G728" s="19"/>
      <c r="H728" s="19"/>
      <c r="M728" s="19"/>
      <c r="P728" s="19"/>
    </row>
    <row r="729" ht="15.75" customHeight="1">
      <c r="G729" s="19"/>
      <c r="H729" s="19"/>
      <c r="M729" s="19"/>
      <c r="P729" s="19"/>
    </row>
    <row r="730" ht="15.75" customHeight="1">
      <c r="G730" s="19"/>
      <c r="H730" s="19"/>
      <c r="M730" s="19"/>
      <c r="P730" s="19"/>
    </row>
    <row r="731" ht="15.75" customHeight="1">
      <c r="G731" s="19"/>
      <c r="H731" s="19"/>
      <c r="M731" s="19"/>
      <c r="P731" s="19"/>
    </row>
    <row r="732" ht="15.75" customHeight="1">
      <c r="G732" s="19"/>
      <c r="H732" s="19"/>
      <c r="M732" s="19"/>
      <c r="P732" s="19"/>
    </row>
    <row r="733" ht="15.75" customHeight="1">
      <c r="G733" s="19"/>
      <c r="H733" s="19"/>
      <c r="M733" s="19"/>
      <c r="P733" s="19"/>
    </row>
    <row r="734" ht="15.75" customHeight="1">
      <c r="G734" s="19"/>
      <c r="H734" s="19"/>
      <c r="M734" s="19"/>
      <c r="P734" s="19"/>
    </row>
    <row r="735" ht="15.75" customHeight="1">
      <c r="G735" s="19"/>
      <c r="H735" s="19"/>
      <c r="M735" s="19"/>
      <c r="P735" s="19"/>
    </row>
    <row r="736" ht="15.75" customHeight="1">
      <c r="G736" s="19"/>
      <c r="H736" s="19"/>
      <c r="M736" s="19"/>
      <c r="P736" s="19"/>
    </row>
    <row r="737" ht="15.75" customHeight="1">
      <c r="G737" s="19"/>
      <c r="H737" s="19"/>
      <c r="M737" s="19"/>
      <c r="P737" s="19"/>
    </row>
    <row r="738" ht="15.75" customHeight="1">
      <c r="G738" s="19"/>
      <c r="H738" s="19"/>
      <c r="M738" s="19"/>
      <c r="P738" s="19"/>
    </row>
    <row r="739" ht="15.75" customHeight="1">
      <c r="G739" s="19"/>
      <c r="H739" s="19"/>
      <c r="M739" s="19"/>
      <c r="P739" s="19"/>
    </row>
    <row r="740" ht="15.75" customHeight="1">
      <c r="G740" s="19"/>
      <c r="H740" s="19"/>
      <c r="M740" s="19"/>
      <c r="P740" s="19"/>
    </row>
    <row r="741" ht="15.75" customHeight="1">
      <c r="G741" s="19"/>
      <c r="H741" s="19"/>
      <c r="M741" s="19"/>
      <c r="P741" s="19"/>
    </row>
    <row r="742" ht="15.75" customHeight="1">
      <c r="G742" s="19"/>
      <c r="H742" s="19"/>
      <c r="M742" s="19"/>
      <c r="P742" s="19"/>
    </row>
    <row r="743" ht="15.75" customHeight="1">
      <c r="G743" s="19"/>
      <c r="H743" s="19"/>
      <c r="M743" s="19"/>
      <c r="P743" s="19"/>
    </row>
    <row r="744" ht="15.75" customHeight="1">
      <c r="G744" s="19"/>
      <c r="H744" s="19"/>
      <c r="M744" s="19"/>
      <c r="P744" s="19"/>
    </row>
    <row r="745" ht="15.75" customHeight="1">
      <c r="G745" s="19"/>
      <c r="H745" s="19"/>
      <c r="M745" s="19"/>
      <c r="P745" s="19"/>
    </row>
    <row r="746" ht="15.75" customHeight="1">
      <c r="G746" s="19"/>
      <c r="H746" s="19"/>
      <c r="M746" s="19"/>
      <c r="P746" s="19"/>
    </row>
    <row r="747" ht="15.75" customHeight="1">
      <c r="G747" s="19"/>
      <c r="H747" s="19"/>
      <c r="M747" s="19"/>
      <c r="P747" s="19"/>
    </row>
    <row r="748" ht="15.75" customHeight="1">
      <c r="G748" s="19"/>
      <c r="H748" s="19"/>
      <c r="M748" s="19"/>
      <c r="P748" s="19"/>
    </row>
    <row r="749" ht="15.75" customHeight="1">
      <c r="G749" s="19"/>
      <c r="H749" s="19"/>
      <c r="M749" s="19"/>
      <c r="P749" s="19"/>
    </row>
    <row r="750" ht="15.75" customHeight="1">
      <c r="G750" s="19"/>
      <c r="H750" s="19"/>
      <c r="M750" s="19"/>
      <c r="P750" s="19"/>
    </row>
    <row r="751" ht="15.75" customHeight="1">
      <c r="G751" s="19"/>
      <c r="H751" s="19"/>
      <c r="M751" s="19"/>
      <c r="P751" s="19"/>
    </row>
    <row r="752" ht="15.75" customHeight="1">
      <c r="G752" s="19"/>
      <c r="H752" s="19"/>
      <c r="M752" s="19"/>
      <c r="P752" s="19"/>
    </row>
    <row r="753" ht="15.75" customHeight="1">
      <c r="G753" s="19"/>
      <c r="H753" s="19"/>
      <c r="M753" s="19"/>
      <c r="P753" s="19"/>
    </row>
    <row r="754" ht="15.75" customHeight="1">
      <c r="G754" s="19"/>
      <c r="H754" s="19"/>
      <c r="M754" s="19"/>
      <c r="P754" s="19"/>
    </row>
    <row r="755" ht="15.75" customHeight="1">
      <c r="G755" s="19"/>
      <c r="H755" s="19"/>
      <c r="M755" s="19"/>
      <c r="P755" s="19"/>
    </row>
    <row r="756" ht="15.75" customHeight="1">
      <c r="G756" s="19"/>
      <c r="H756" s="19"/>
      <c r="M756" s="19"/>
      <c r="P756" s="19"/>
    </row>
    <row r="757" ht="15.75" customHeight="1">
      <c r="G757" s="19"/>
      <c r="H757" s="19"/>
      <c r="M757" s="19"/>
      <c r="P757" s="19"/>
    </row>
    <row r="758" ht="15.75" customHeight="1">
      <c r="G758" s="19"/>
      <c r="H758" s="19"/>
      <c r="M758" s="19"/>
      <c r="P758" s="19"/>
    </row>
    <row r="759" ht="15.75" customHeight="1">
      <c r="G759" s="19"/>
      <c r="H759" s="19"/>
      <c r="M759" s="19"/>
      <c r="P759" s="19"/>
    </row>
    <row r="760" ht="15.75" customHeight="1">
      <c r="G760" s="19"/>
      <c r="H760" s="19"/>
      <c r="M760" s="19"/>
      <c r="P760" s="19"/>
    </row>
    <row r="761" ht="15.75" customHeight="1">
      <c r="G761" s="19"/>
      <c r="H761" s="19"/>
      <c r="M761" s="19"/>
      <c r="P761" s="19"/>
    </row>
    <row r="762" ht="15.75" customHeight="1">
      <c r="G762" s="19"/>
      <c r="H762" s="19"/>
      <c r="M762" s="19"/>
      <c r="P762" s="19"/>
    </row>
    <row r="763" ht="15.75" customHeight="1">
      <c r="G763" s="19"/>
      <c r="H763" s="19"/>
      <c r="M763" s="19"/>
      <c r="P763" s="19"/>
    </row>
    <row r="764" ht="15.75" customHeight="1">
      <c r="G764" s="19"/>
      <c r="H764" s="19"/>
      <c r="M764" s="19"/>
      <c r="P764" s="19"/>
    </row>
    <row r="765" ht="15.75" customHeight="1">
      <c r="G765" s="19"/>
      <c r="H765" s="19"/>
      <c r="M765" s="19"/>
      <c r="P765" s="19"/>
    </row>
    <row r="766" ht="15.75" customHeight="1">
      <c r="G766" s="19"/>
      <c r="H766" s="19"/>
      <c r="M766" s="19"/>
      <c r="P766" s="19"/>
    </row>
    <row r="767" ht="15.75" customHeight="1">
      <c r="G767" s="19"/>
      <c r="H767" s="19"/>
      <c r="M767" s="19"/>
      <c r="P767" s="19"/>
    </row>
    <row r="768" ht="15.75" customHeight="1">
      <c r="G768" s="19"/>
      <c r="H768" s="19"/>
      <c r="M768" s="19"/>
      <c r="P768" s="19"/>
    </row>
    <row r="769" ht="15.75" customHeight="1">
      <c r="G769" s="19"/>
      <c r="H769" s="19"/>
      <c r="M769" s="19"/>
      <c r="P769" s="19"/>
    </row>
    <row r="770" ht="15.75" customHeight="1">
      <c r="G770" s="19"/>
      <c r="H770" s="19"/>
      <c r="M770" s="19"/>
      <c r="P770" s="19"/>
    </row>
    <row r="771" ht="15.75" customHeight="1">
      <c r="G771" s="19"/>
      <c r="H771" s="19"/>
      <c r="M771" s="19"/>
      <c r="P771" s="19"/>
    </row>
    <row r="772" ht="15.75" customHeight="1">
      <c r="G772" s="19"/>
      <c r="H772" s="19"/>
      <c r="M772" s="19"/>
      <c r="P772" s="19"/>
    </row>
    <row r="773" ht="15.75" customHeight="1">
      <c r="G773" s="19"/>
      <c r="H773" s="19"/>
      <c r="M773" s="19"/>
      <c r="P773" s="19"/>
    </row>
    <row r="774" ht="15.75" customHeight="1">
      <c r="G774" s="19"/>
      <c r="H774" s="19"/>
      <c r="M774" s="19"/>
      <c r="P774" s="19"/>
    </row>
    <row r="775" ht="15.75" customHeight="1">
      <c r="G775" s="19"/>
      <c r="H775" s="19"/>
      <c r="M775" s="19"/>
      <c r="P775" s="19"/>
    </row>
    <row r="776" ht="15.75" customHeight="1">
      <c r="G776" s="19"/>
      <c r="H776" s="19"/>
      <c r="M776" s="19"/>
      <c r="P776" s="19"/>
    </row>
    <row r="777" ht="15.75" customHeight="1">
      <c r="G777" s="19"/>
      <c r="H777" s="19"/>
      <c r="M777" s="19"/>
      <c r="P777" s="19"/>
    </row>
    <row r="778" ht="15.75" customHeight="1">
      <c r="G778" s="19"/>
      <c r="H778" s="19"/>
      <c r="M778" s="19"/>
      <c r="P778" s="19"/>
    </row>
    <row r="779" ht="15.75" customHeight="1">
      <c r="G779" s="19"/>
      <c r="H779" s="19"/>
      <c r="M779" s="19"/>
      <c r="P779" s="19"/>
    </row>
    <row r="780" ht="15.75" customHeight="1">
      <c r="G780" s="19"/>
      <c r="H780" s="19"/>
      <c r="M780" s="19"/>
      <c r="P780" s="19"/>
    </row>
    <row r="781" ht="15.75" customHeight="1">
      <c r="G781" s="19"/>
      <c r="H781" s="19"/>
      <c r="M781" s="19"/>
      <c r="P781" s="19"/>
    </row>
    <row r="782" ht="15.75" customHeight="1">
      <c r="G782" s="19"/>
      <c r="H782" s="19"/>
      <c r="M782" s="19"/>
      <c r="P782" s="19"/>
    </row>
    <row r="783" ht="15.75" customHeight="1">
      <c r="G783" s="19"/>
      <c r="H783" s="19"/>
      <c r="M783" s="19"/>
      <c r="P783" s="19"/>
    </row>
    <row r="784" ht="15.75" customHeight="1">
      <c r="G784" s="19"/>
      <c r="H784" s="19"/>
      <c r="M784" s="19"/>
      <c r="P784" s="19"/>
    </row>
    <row r="785" ht="15.75" customHeight="1">
      <c r="G785" s="19"/>
      <c r="H785" s="19"/>
      <c r="M785" s="19"/>
      <c r="P785" s="19"/>
    </row>
    <row r="786" ht="15.75" customHeight="1">
      <c r="G786" s="19"/>
      <c r="H786" s="19"/>
      <c r="M786" s="19"/>
      <c r="P786" s="19"/>
    </row>
    <row r="787" ht="15.75" customHeight="1">
      <c r="G787" s="19"/>
      <c r="H787" s="19"/>
      <c r="M787" s="19"/>
      <c r="P787" s="19"/>
    </row>
    <row r="788" ht="15.75" customHeight="1">
      <c r="G788" s="19"/>
      <c r="H788" s="19"/>
      <c r="M788" s="19"/>
      <c r="P788" s="19"/>
    </row>
    <row r="789" ht="15.75" customHeight="1">
      <c r="G789" s="19"/>
      <c r="H789" s="19"/>
      <c r="M789" s="19"/>
      <c r="P789" s="19"/>
    </row>
    <row r="790" ht="15.75" customHeight="1">
      <c r="G790" s="19"/>
      <c r="H790" s="19"/>
      <c r="M790" s="19"/>
      <c r="P790" s="19"/>
    </row>
    <row r="791" ht="15.75" customHeight="1">
      <c r="G791" s="19"/>
      <c r="H791" s="19"/>
      <c r="M791" s="19"/>
      <c r="P791" s="19"/>
    </row>
    <row r="792" ht="15.75" customHeight="1">
      <c r="G792" s="19"/>
      <c r="H792" s="19"/>
      <c r="M792" s="19"/>
      <c r="P792" s="19"/>
    </row>
    <row r="793" ht="15.75" customHeight="1">
      <c r="G793" s="19"/>
      <c r="H793" s="19"/>
      <c r="M793" s="19"/>
      <c r="P793" s="19"/>
    </row>
    <row r="794" ht="15.75" customHeight="1">
      <c r="G794" s="19"/>
      <c r="H794" s="19"/>
      <c r="M794" s="19"/>
      <c r="P794" s="19"/>
    </row>
    <row r="795" ht="15.75" customHeight="1">
      <c r="G795" s="19"/>
      <c r="H795" s="19"/>
      <c r="M795" s="19"/>
      <c r="P795" s="19"/>
    </row>
    <row r="796" ht="15.75" customHeight="1">
      <c r="G796" s="19"/>
      <c r="H796" s="19"/>
      <c r="M796" s="19"/>
      <c r="P796" s="19"/>
    </row>
    <row r="797" ht="15.75" customHeight="1">
      <c r="G797" s="19"/>
      <c r="H797" s="19"/>
      <c r="M797" s="19"/>
      <c r="P797" s="19"/>
    </row>
    <row r="798" ht="15.75" customHeight="1">
      <c r="G798" s="19"/>
      <c r="H798" s="19"/>
      <c r="M798" s="19"/>
      <c r="P798" s="19"/>
    </row>
    <row r="799" ht="15.75" customHeight="1">
      <c r="G799" s="19"/>
      <c r="H799" s="19"/>
      <c r="M799" s="19"/>
      <c r="P799" s="19"/>
    </row>
    <row r="800" ht="15.75" customHeight="1">
      <c r="G800" s="19"/>
      <c r="H800" s="19"/>
      <c r="M800" s="19"/>
      <c r="P800" s="19"/>
    </row>
    <row r="801" ht="15.75" customHeight="1">
      <c r="G801" s="19"/>
      <c r="H801" s="19"/>
      <c r="M801" s="19"/>
      <c r="P801" s="19"/>
    </row>
    <row r="802" ht="15.75" customHeight="1">
      <c r="G802" s="19"/>
      <c r="H802" s="19"/>
      <c r="M802" s="19"/>
      <c r="P802" s="19"/>
    </row>
    <row r="803" ht="15.75" customHeight="1">
      <c r="G803" s="19"/>
      <c r="H803" s="19"/>
      <c r="M803" s="19"/>
      <c r="P803" s="19"/>
    </row>
    <row r="804" ht="15.75" customHeight="1">
      <c r="G804" s="19"/>
      <c r="H804" s="19"/>
      <c r="M804" s="19"/>
      <c r="P804" s="19"/>
    </row>
    <row r="805" ht="15.75" customHeight="1">
      <c r="G805" s="19"/>
      <c r="H805" s="19"/>
      <c r="M805" s="19"/>
      <c r="P805" s="19"/>
    </row>
    <row r="806" ht="15.75" customHeight="1">
      <c r="G806" s="19"/>
      <c r="H806" s="19"/>
      <c r="M806" s="19"/>
      <c r="P806" s="19"/>
    </row>
    <row r="807" ht="15.75" customHeight="1">
      <c r="G807" s="19"/>
      <c r="H807" s="19"/>
      <c r="M807" s="19"/>
      <c r="P807" s="19"/>
    </row>
    <row r="808" ht="15.75" customHeight="1">
      <c r="G808" s="19"/>
      <c r="H808" s="19"/>
      <c r="M808" s="19"/>
      <c r="P808" s="19"/>
    </row>
    <row r="809" ht="15.75" customHeight="1">
      <c r="G809" s="19"/>
      <c r="H809" s="19"/>
      <c r="M809" s="19"/>
      <c r="P809" s="19"/>
    </row>
    <row r="810" ht="15.75" customHeight="1">
      <c r="G810" s="19"/>
      <c r="H810" s="19"/>
      <c r="M810" s="19"/>
      <c r="P810" s="19"/>
    </row>
    <row r="811" ht="15.75" customHeight="1">
      <c r="G811" s="19"/>
      <c r="H811" s="19"/>
      <c r="M811" s="19"/>
      <c r="P811" s="19"/>
    </row>
    <row r="812" ht="15.75" customHeight="1">
      <c r="G812" s="19"/>
      <c r="H812" s="19"/>
      <c r="M812" s="19"/>
      <c r="P812" s="19"/>
    </row>
    <row r="813" ht="15.75" customHeight="1">
      <c r="G813" s="19"/>
      <c r="H813" s="19"/>
      <c r="M813" s="19"/>
      <c r="P813" s="19"/>
    </row>
    <row r="814" ht="15.75" customHeight="1">
      <c r="G814" s="19"/>
      <c r="H814" s="19"/>
      <c r="M814" s="19"/>
      <c r="P814" s="19"/>
    </row>
    <row r="815" ht="15.75" customHeight="1">
      <c r="G815" s="19"/>
      <c r="H815" s="19"/>
      <c r="M815" s="19"/>
      <c r="P815" s="19"/>
    </row>
    <row r="816" ht="15.75" customHeight="1">
      <c r="G816" s="19"/>
      <c r="H816" s="19"/>
      <c r="M816" s="19"/>
      <c r="P816" s="19"/>
    </row>
    <row r="817" ht="15.75" customHeight="1">
      <c r="G817" s="19"/>
      <c r="H817" s="19"/>
      <c r="M817" s="19"/>
      <c r="P817" s="19"/>
    </row>
    <row r="818" ht="15.75" customHeight="1">
      <c r="G818" s="19"/>
      <c r="H818" s="19"/>
      <c r="M818" s="19"/>
      <c r="P818" s="19"/>
    </row>
    <row r="819" ht="15.75" customHeight="1">
      <c r="G819" s="19"/>
      <c r="H819" s="19"/>
      <c r="M819" s="19"/>
      <c r="P819" s="19"/>
    </row>
    <row r="820" ht="15.75" customHeight="1">
      <c r="G820" s="19"/>
      <c r="H820" s="19"/>
      <c r="M820" s="19"/>
      <c r="P820" s="19"/>
    </row>
    <row r="821" ht="15.75" customHeight="1">
      <c r="G821" s="19"/>
      <c r="H821" s="19"/>
      <c r="M821" s="19"/>
      <c r="P821" s="19"/>
    </row>
    <row r="822" ht="15.75" customHeight="1">
      <c r="G822" s="19"/>
      <c r="H822" s="19"/>
      <c r="M822" s="19"/>
      <c r="P822" s="19"/>
    </row>
    <row r="823" ht="15.75" customHeight="1">
      <c r="G823" s="19"/>
      <c r="H823" s="19"/>
      <c r="M823" s="19"/>
      <c r="P823" s="19"/>
    </row>
    <row r="824" ht="15.75" customHeight="1">
      <c r="G824" s="19"/>
      <c r="H824" s="19"/>
      <c r="M824" s="19"/>
      <c r="P824" s="19"/>
    </row>
    <row r="825" ht="15.75" customHeight="1">
      <c r="G825" s="19"/>
      <c r="H825" s="19"/>
      <c r="M825" s="19"/>
      <c r="P825" s="19"/>
    </row>
    <row r="826" ht="15.75" customHeight="1">
      <c r="G826" s="19"/>
      <c r="H826" s="19"/>
      <c r="M826" s="19"/>
      <c r="P826" s="19"/>
    </row>
    <row r="827" ht="15.75" customHeight="1">
      <c r="G827" s="19"/>
      <c r="H827" s="19"/>
      <c r="M827" s="19"/>
      <c r="P827" s="19"/>
    </row>
    <row r="828" ht="15.75" customHeight="1">
      <c r="G828" s="19"/>
      <c r="H828" s="19"/>
      <c r="M828" s="19"/>
      <c r="P828" s="19"/>
    </row>
    <row r="829" ht="15.75" customHeight="1">
      <c r="G829" s="19"/>
      <c r="H829" s="19"/>
      <c r="M829" s="19"/>
      <c r="P829" s="19"/>
    </row>
    <row r="830" ht="15.75" customHeight="1">
      <c r="G830" s="19"/>
      <c r="H830" s="19"/>
      <c r="M830" s="19"/>
      <c r="P830" s="19"/>
    </row>
    <row r="831" ht="15.75" customHeight="1">
      <c r="G831" s="19"/>
      <c r="H831" s="19"/>
      <c r="M831" s="19"/>
      <c r="P831" s="19"/>
    </row>
    <row r="832" ht="15.75" customHeight="1">
      <c r="G832" s="19"/>
      <c r="H832" s="19"/>
      <c r="M832" s="19"/>
      <c r="P832" s="19"/>
    </row>
    <row r="833" ht="15.75" customHeight="1">
      <c r="G833" s="19"/>
      <c r="H833" s="19"/>
      <c r="M833" s="19"/>
      <c r="P833" s="19"/>
    </row>
    <row r="834" ht="15.75" customHeight="1">
      <c r="G834" s="19"/>
      <c r="H834" s="19"/>
      <c r="M834" s="19"/>
      <c r="P834" s="19"/>
    </row>
    <row r="835" ht="15.75" customHeight="1">
      <c r="G835" s="19"/>
      <c r="H835" s="19"/>
      <c r="M835" s="19"/>
      <c r="P835" s="19"/>
    </row>
    <row r="836" ht="15.75" customHeight="1">
      <c r="G836" s="19"/>
      <c r="H836" s="19"/>
      <c r="M836" s="19"/>
      <c r="P836" s="19"/>
    </row>
    <row r="837" ht="15.75" customHeight="1">
      <c r="G837" s="19"/>
      <c r="H837" s="19"/>
      <c r="M837" s="19"/>
      <c r="P837" s="19"/>
    </row>
    <row r="838" ht="15.75" customHeight="1">
      <c r="G838" s="19"/>
      <c r="H838" s="19"/>
      <c r="M838" s="19"/>
      <c r="P838" s="19"/>
    </row>
    <row r="839" ht="15.75" customHeight="1">
      <c r="G839" s="19"/>
      <c r="H839" s="19"/>
      <c r="M839" s="19"/>
      <c r="P839" s="19"/>
    </row>
    <row r="840" ht="15.75" customHeight="1">
      <c r="G840" s="19"/>
      <c r="H840" s="19"/>
      <c r="M840" s="19"/>
      <c r="P840" s="19"/>
    </row>
    <row r="841" ht="15.75" customHeight="1">
      <c r="G841" s="19"/>
      <c r="H841" s="19"/>
      <c r="M841" s="19"/>
      <c r="P841" s="19"/>
    </row>
    <row r="842" ht="15.75" customHeight="1">
      <c r="G842" s="19"/>
      <c r="H842" s="19"/>
      <c r="M842" s="19"/>
      <c r="P842" s="19"/>
    </row>
    <row r="843" ht="15.75" customHeight="1">
      <c r="G843" s="19"/>
      <c r="H843" s="19"/>
      <c r="M843" s="19"/>
      <c r="P843" s="19"/>
    </row>
    <row r="844" ht="15.75" customHeight="1">
      <c r="G844" s="19"/>
      <c r="H844" s="19"/>
      <c r="M844" s="19"/>
      <c r="P844" s="19"/>
    </row>
    <row r="845" ht="15.75" customHeight="1">
      <c r="G845" s="19"/>
      <c r="H845" s="19"/>
      <c r="M845" s="19"/>
      <c r="P845" s="19"/>
    </row>
    <row r="846" ht="15.75" customHeight="1">
      <c r="G846" s="19"/>
      <c r="H846" s="19"/>
      <c r="M846" s="19"/>
      <c r="P846" s="19"/>
    </row>
    <row r="847" ht="15.75" customHeight="1">
      <c r="G847" s="19"/>
      <c r="H847" s="19"/>
      <c r="M847" s="19"/>
      <c r="P847" s="19"/>
    </row>
    <row r="848" ht="15.75" customHeight="1">
      <c r="G848" s="19"/>
      <c r="H848" s="19"/>
      <c r="M848" s="19"/>
      <c r="P848" s="19"/>
    </row>
    <row r="849" ht="15.75" customHeight="1">
      <c r="G849" s="19"/>
      <c r="H849" s="19"/>
      <c r="M849" s="19"/>
      <c r="P849" s="19"/>
    </row>
    <row r="850" ht="15.75" customHeight="1">
      <c r="G850" s="19"/>
      <c r="H850" s="19"/>
      <c r="M850" s="19"/>
      <c r="P850" s="19"/>
    </row>
    <row r="851" ht="15.75" customHeight="1">
      <c r="G851" s="19"/>
      <c r="H851" s="19"/>
      <c r="M851" s="19"/>
      <c r="P851" s="19"/>
    </row>
    <row r="852" ht="15.75" customHeight="1">
      <c r="G852" s="19"/>
      <c r="H852" s="19"/>
      <c r="M852" s="19"/>
      <c r="P852" s="19"/>
    </row>
    <row r="853" ht="15.75" customHeight="1">
      <c r="G853" s="19"/>
      <c r="H853" s="19"/>
      <c r="M853" s="19"/>
      <c r="P853" s="19"/>
    </row>
    <row r="854" ht="15.75" customHeight="1">
      <c r="G854" s="19"/>
      <c r="H854" s="19"/>
      <c r="M854" s="19"/>
      <c r="P854" s="19"/>
    </row>
    <row r="855" ht="15.75" customHeight="1">
      <c r="G855" s="19"/>
      <c r="H855" s="19"/>
      <c r="M855" s="19"/>
      <c r="P855" s="19"/>
    </row>
    <row r="856" ht="15.75" customHeight="1">
      <c r="G856" s="19"/>
      <c r="H856" s="19"/>
      <c r="M856" s="19"/>
      <c r="P856" s="19"/>
    </row>
    <row r="857" ht="15.75" customHeight="1">
      <c r="G857" s="19"/>
      <c r="H857" s="19"/>
      <c r="M857" s="19"/>
      <c r="P857" s="19"/>
    </row>
    <row r="858" ht="15.75" customHeight="1">
      <c r="G858" s="19"/>
      <c r="H858" s="19"/>
      <c r="M858" s="19"/>
      <c r="P858" s="19"/>
    </row>
    <row r="859" ht="15.75" customHeight="1">
      <c r="G859" s="19"/>
      <c r="H859" s="19"/>
      <c r="M859" s="19"/>
      <c r="P859" s="19"/>
    </row>
    <row r="860" ht="15.75" customHeight="1">
      <c r="G860" s="19"/>
      <c r="H860" s="19"/>
      <c r="M860" s="19"/>
      <c r="P860" s="19"/>
    </row>
    <row r="861" ht="15.75" customHeight="1">
      <c r="G861" s="19"/>
      <c r="H861" s="19"/>
      <c r="M861" s="19"/>
      <c r="P861" s="19"/>
    </row>
    <row r="862" ht="15.75" customHeight="1">
      <c r="G862" s="19"/>
      <c r="H862" s="19"/>
      <c r="M862" s="19"/>
      <c r="P862" s="19"/>
    </row>
    <row r="863" ht="15.75" customHeight="1">
      <c r="G863" s="19"/>
      <c r="H863" s="19"/>
      <c r="M863" s="19"/>
      <c r="P863" s="19"/>
    </row>
    <row r="864" ht="15.75" customHeight="1">
      <c r="G864" s="19"/>
      <c r="H864" s="19"/>
      <c r="M864" s="19"/>
      <c r="P864" s="19"/>
    </row>
    <row r="865" ht="15.75" customHeight="1">
      <c r="G865" s="19"/>
      <c r="H865" s="19"/>
      <c r="M865" s="19"/>
      <c r="P865" s="19"/>
    </row>
    <row r="866" ht="15.75" customHeight="1">
      <c r="G866" s="19"/>
      <c r="H866" s="19"/>
      <c r="M866" s="19"/>
      <c r="P866" s="19"/>
    </row>
    <row r="867" ht="15.75" customHeight="1">
      <c r="G867" s="19"/>
      <c r="H867" s="19"/>
      <c r="M867" s="19"/>
      <c r="P867" s="19"/>
    </row>
    <row r="868" ht="15.75" customHeight="1">
      <c r="G868" s="19"/>
      <c r="H868" s="19"/>
      <c r="M868" s="19"/>
      <c r="P868" s="19"/>
    </row>
    <row r="869" ht="15.75" customHeight="1">
      <c r="G869" s="19"/>
      <c r="H869" s="19"/>
      <c r="M869" s="19"/>
      <c r="P869" s="19"/>
    </row>
    <row r="870" ht="15.75" customHeight="1">
      <c r="G870" s="19"/>
      <c r="H870" s="19"/>
      <c r="M870" s="19"/>
      <c r="P870" s="19"/>
    </row>
    <row r="871" ht="15.75" customHeight="1">
      <c r="G871" s="19"/>
      <c r="H871" s="19"/>
      <c r="M871" s="19"/>
      <c r="P871" s="19"/>
    </row>
    <row r="872" ht="15.75" customHeight="1">
      <c r="G872" s="19"/>
      <c r="H872" s="19"/>
      <c r="M872" s="19"/>
      <c r="P872" s="19"/>
    </row>
    <row r="873" ht="15.75" customHeight="1">
      <c r="G873" s="19"/>
      <c r="H873" s="19"/>
      <c r="M873" s="19"/>
      <c r="P873" s="19"/>
    </row>
    <row r="874" ht="15.75" customHeight="1">
      <c r="G874" s="19"/>
      <c r="H874" s="19"/>
      <c r="M874" s="19"/>
      <c r="P874" s="19"/>
    </row>
    <row r="875" ht="15.75" customHeight="1">
      <c r="G875" s="19"/>
      <c r="H875" s="19"/>
      <c r="M875" s="19"/>
      <c r="P875" s="19"/>
    </row>
    <row r="876" ht="15.75" customHeight="1">
      <c r="G876" s="19"/>
      <c r="H876" s="19"/>
      <c r="M876" s="19"/>
      <c r="P876" s="19"/>
    </row>
    <row r="877" ht="15.75" customHeight="1">
      <c r="G877" s="19"/>
      <c r="H877" s="19"/>
      <c r="M877" s="19"/>
      <c r="P877" s="19"/>
    </row>
    <row r="878" ht="15.75" customHeight="1">
      <c r="G878" s="19"/>
      <c r="H878" s="19"/>
      <c r="M878" s="19"/>
      <c r="P878" s="19"/>
    </row>
    <row r="879" ht="15.75" customHeight="1">
      <c r="G879" s="19"/>
      <c r="H879" s="19"/>
      <c r="M879" s="19"/>
      <c r="P879" s="19"/>
    </row>
    <row r="880" ht="15.75" customHeight="1">
      <c r="G880" s="19"/>
      <c r="H880" s="19"/>
      <c r="M880" s="19"/>
      <c r="P880" s="19"/>
    </row>
    <row r="881" ht="15.75" customHeight="1">
      <c r="G881" s="19"/>
      <c r="H881" s="19"/>
      <c r="M881" s="19"/>
      <c r="P881" s="19"/>
    </row>
    <row r="882" ht="15.75" customHeight="1">
      <c r="G882" s="19"/>
      <c r="H882" s="19"/>
      <c r="M882" s="19"/>
      <c r="P882" s="19"/>
    </row>
    <row r="883" ht="15.75" customHeight="1">
      <c r="G883" s="19"/>
      <c r="H883" s="19"/>
      <c r="M883" s="19"/>
      <c r="P883" s="19"/>
    </row>
    <row r="884" ht="15.75" customHeight="1">
      <c r="G884" s="19"/>
      <c r="H884" s="19"/>
      <c r="M884" s="19"/>
      <c r="P884" s="19"/>
    </row>
    <row r="885" ht="15.75" customHeight="1">
      <c r="G885" s="19"/>
      <c r="H885" s="19"/>
      <c r="M885" s="19"/>
      <c r="P885" s="19"/>
    </row>
    <row r="886" ht="15.75" customHeight="1">
      <c r="G886" s="19"/>
      <c r="H886" s="19"/>
      <c r="M886" s="19"/>
      <c r="P886" s="19"/>
    </row>
    <row r="887" ht="15.75" customHeight="1">
      <c r="G887" s="19"/>
      <c r="H887" s="19"/>
      <c r="M887" s="19"/>
      <c r="P887" s="19"/>
    </row>
    <row r="888" ht="15.75" customHeight="1">
      <c r="G888" s="19"/>
      <c r="H888" s="19"/>
      <c r="M888" s="19"/>
      <c r="P888" s="19"/>
    </row>
    <row r="889" ht="15.75" customHeight="1">
      <c r="G889" s="19"/>
      <c r="H889" s="19"/>
      <c r="M889" s="19"/>
      <c r="P889" s="19"/>
    </row>
    <row r="890" ht="15.75" customHeight="1">
      <c r="G890" s="19"/>
      <c r="H890" s="19"/>
      <c r="M890" s="19"/>
      <c r="P890" s="19"/>
    </row>
    <row r="891" ht="15.75" customHeight="1">
      <c r="G891" s="19"/>
      <c r="H891" s="19"/>
      <c r="M891" s="19"/>
      <c r="P891" s="19"/>
    </row>
    <row r="892" ht="15.75" customHeight="1">
      <c r="G892" s="19"/>
      <c r="H892" s="19"/>
      <c r="M892" s="19"/>
      <c r="P892" s="19"/>
    </row>
    <row r="893" ht="15.75" customHeight="1">
      <c r="G893" s="19"/>
      <c r="H893" s="19"/>
      <c r="M893" s="19"/>
      <c r="P893" s="19"/>
    </row>
    <row r="894" ht="15.75" customHeight="1">
      <c r="G894" s="19"/>
      <c r="H894" s="19"/>
      <c r="M894" s="19"/>
      <c r="P894" s="19"/>
    </row>
    <row r="895" ht="15.75" customHeight="1">
      <c r="G895" s="19"/>
      <c r="H895" s="19"/>
      <c r="M895" s="19"/>
      <c r="P895" s="19"/>
    </row>
    <row r="896" ht="15.75" customHeight="1">
      <c r="G896" s="19"/>
      <c r="H896" s="19"/>
      <c r="M896" s="19"/>
      <c r="P896" s="19"/>
    </row>
    <row r="897" ht="15.75" customHeight="1">
      <c r="G897" s="19"/>
      <c r="H897" s="19"/>
      <c r="M897" s="19"/>
      <c r="P897" s="19"/>
    </row>
    <row r="898" ht="15.75" customHeight="1">
      <c r="G898" s="19"/>
      <c r="H898" s="19"/>
      <c r="M898" s="19"/>
      <c r="P898" s="19"/>
    </row>
    <row r="899" ht="15.75" customHeight="1">
      <c r="G899" s="19"/>
      <c r="H899" s="19"/>
      <c r="M899" s="19"/>
      <c r="P899" s="19"/>
    </row>
    <row r="900" ht="15.75" customHeight="1">
      <c r="G900" s="19"/>
      <c r="H900" s="19"/>
      <c r="M900" s="19"/>
      <c r="P900" s="19"/>
    </row>
    <row r="901" ht="15.75" customHeight="1">
      <c r="G901" s="19"/>
      <c r="H901" s="19"/>
      <c r="M901" s="19"/>
      <c r="P901" s="19"/>
    </row>
    <row r="902" ht="15.75" customHeight="1">
      <c r="G902" s="19"/>
      <c r="H902" s="19"/>
      <c r="M902" s="19"/>
      <c r="P902" s="19"/>
    </row>
    <row r="903" ht="15.75" customHeight="1">
      <c r="G903" s="19"/>
      <c r="H903" s="19"/>
      <c r="M903" s="19"/>
      <c r="P903" s="19"/>
    </row>
    <row r="904" ht="15.75" customHeight="1">
      <c r="G904" s="19"/>
      <c r="H904" s="19"/>
      <c r="M904" s="19"/>
      <c r="P904" s="19"/>
    </row>
    <row r="905" ht="15.75" customHeight="1">
      <c r="G905" s="19"/>
      <c r="H905" s="19"/>
      <c r="M905" s="19"/>
      <c r="P905" s="19"/>
    </row>
    <row r="906" ht="15.75" customHeight="1">
      <c r="G906" s="19"/>
      <c r="H906" s="19"/>
      <c r="M906" s="19"/>
      <c r="P906" s="19"/>
    </row>
    <row r="907" ht="15.75" customHeight="1">
      <c r="G907" s="19"/>
      <c r="H907" s="19"/>
      <c r="M907" s="19"/>
      <c r="P907" s="19"/>
    </row>
    <row r="908" ht="15.75" customHeight="1">
      <c r="G908" s="19"/>
      <c r="H908" s="19"/>
      <c r="M908" s="19"/>
      <c r="P908" s="19"/>
    </row>
    <row r="909" ht="15.75" customHeight="1">
      <c r="G909" s="19"/>
      <c r="H909" s="19"/>
      <c r="M909" s="19"/>
      <c r="P909" s="19"/>
    </row>
    <row r="910" ht="15.75" customHeight="1">
      <c r="G910" s="19"/>
      <c r="H910" s="19"/>
      <c r="M910" s="19"/>
      <c r="P910" s="19"/>
    </row>
    <row r="911" ht="15.75" customHeight="1">
      <c r="G911" s="19"/>
      <c r="H911" s="19"/>
      <c r="M911" s="19"/>
      <c r="P911" s="19"/>
    </row>
    <row r="912" ht="15.75" customHeight="1">
      <c r="G912" s="19"/>
      <c r="H912" s="19"/>
      <c r="M912" s="19"/>
      <c r="P912" s="19"/>
    </row>
    <row r="913" ht="15.75" customHeight="1">
      <c r="G913" s="19"/>
      <c r="H913" s="19"/>
      <c r="M913" s="19"/>
      <c r="P913" s="19"/>
    </row>
    <row r="914" ht="15.75" customHeight="1">
      <c r="G914" s="19"/>
      <c r="H914" s="19"/>
      <c r="M914" s="19"/>
      <c r="P914" s="19"/>
    </row>
    <row r="915" ht="15.75" customHeight="1">
      <c r="G915" s="19"/>
      <c r="H915" s="19"/>
      <c r="M915" s="19"/>
      <c r="P915" s="19"/>
    </row>
    <row r="916" ht="15.75" customHeight="1">
      <c r="G916" s="19"/>
      <c r="H916" s="19"/>
      <c r="M916" s="19"/>
      <c r="P916" s="19"/>
    </row>
    <row r="917" ht="15.75" customHeight="1">
      <c r="G917" s="19"/>
      <c r="H917" s="19"/>
      <c r="M917" s="19"/>
      <c r="P917" s="19"/>
    </row>
    <row r="918" ht="15.75" customHeight="1">
      <c r="G918" s="19"/>
      <c r="H918" s="19"/>
      <c r="M918" s="19"/>
      <c r="P918" s="19"/>
    </row>
    <row r="919" ht="15.75" customHeight="1">
      <c r="G919" s="19"/>
      <c r="H919" s="19"/>
      <c r="M919" s="19"/>
      <c r="P919" s="19"/>
    </row>
    <row r="920" ht="15.75" customHeight="1">
      <c r="G920" s="19"/>
      <c r="H920" s="19"/>
      <c r="M920" s="19"/>
      <c r="P920" s="19"/>
    </row>
    <row r="921" ht="15.75" customHeight="1">
      <c r="G921" s="19"/>
      <c r="H921" s="19"/>
      <c r="M921" s="19"/>
      <c r="P921" s="19"/>
    </row>
    <row r="922" ht="15.75" customHeight="1">
      <c r="G922" s="19"/>
      <c r="H922" s="19"/>
      <c r="M922" s="19"/>
      <c r="P922" s="19"/>
    </row>
    <row r="923" ht="15.75" customHeight="1">
      <c r="G923" s="19"/>
      <c r="H923" s="19"/>
      <c r="M923" s="19"/>
      <c r="P923" s="19"/>
    </row>
    <row r="924" ht="15.75" customHeight="1">
      <c r="G924" s="19"/>
      <c r="H924" s="19"/>
      <c r="M924" s="19"/>
      <c r="P924" s="19"/>
    </row>
    <row r="925" ht="15.75" customHeight="1">
      <c r="G925" s="19"/>
      <c r="H925" s="19"/>
      <c r="M925" s="19"/>
      <c r="P925" s="19"/>
    </row>
    <row r="926" ht="15.75" customHeight="1">
      <c r="G926" s="19"/>
      <c r="H926" s="19"/>
      <c r="M926" s="19"/>
      <c r="P926" s="19"/>
    </row>
    <row r="927" ht="15.75" customHeight="1">
      <c r="G927" s="19"/>
      <c r="H927" s="19"/>
      <c r="M927" s="19"/>
      <c r="P927" s="19"/>
    </row>
    <row r="928" ht="15.75" customHeight="1">
      <c r="G928" s="19"/>
      <c r="H928" s="19"/>
      <c r="M928" s="19"/>
      <c r="P928" s="19"/>
    </row>
    <row r="929" ht="15.75" customHeight="1">
      <c r="G929" s="19"/>
      <c r="H929" s="19"/>
      <c r="M929" s="19"/>
      <c r="P929" s="19"/>
    </row>
    <row r="930" ht="15.75" customHeight="1">
      <c r="G930" s="19"/>
      <c r="H930" s="19"/>
      <c r="M930" s="19"/>
      <c r="P930" s="19"/>
    </row>
    <row r="931" ht="15.75" customHeight="1">
      <c r="G931" s="19"/>
      <c r="H931" s="19"/>
      <c r="M931" s="19"/>
      <c r="P931" s="19"/>
    </row>
    <row r="932" ht="15.75" customHeight="1">
      <c r="G932" s="19"/>
      <c r="H932" s="19"/>
      <c r="M932" s="19"/>
      <c r="P932" s="19"/>
    </row>
    <row r="933" ht="15.75" customHeight="1">
      <c r="G933" s="19"/>
      <c r="H933" s="19"/>
      <c r="M933" s="19"/>
      <c r="P933" s="19"/>
    </row>
    <row r="934" ht="15.75" customHeight="1">
      <c r="G934" s="19"/>
      <c r="H934" s="19"/>
      <c r="M934" s="19"/>
      <c r="P934" s="19"/>
    </row>
    <row r="935" ht="15.75" customHeight="1">
      <c r="G935" s="19"/>
      <c r="H935" s="19"/>
      <c r="M935" s="19"/>
      <c r="P935" s="19"/>
    </row>
    <row r="936" ht="15.75" customHeight="1">
      <c r="G936" s="19"/>
      <c r="H936" s="19"/>
      <c r="M936" s="19"/>
      <c r="P936" s="19"/>
    </row>
    <row r="937" ht="15.75" customHeight="1">
      <c r="G937" s="19"/>
      <c r="H937" s="19"/>
      <c r="M937" s="19"/>
      <c r="P937" s="19"/>
    </row>
    <row r="938" ht="15.75" customHeight="1">
      <c r="G938" s="19"/>
      <c r="H938" s="19"/>
      <c r="M938" s="19"/>
      <c r="P938" s="19"/>
    </row>
    <row r="939" ht="15.75" customHeight="1">
      <c r="G939" s="19"/>
      <c r="H939" s="19"/>
      <c r="M939" s="19"/>
      <c r="P939" s="19"/>
    </row>
    <row r="940" ht="15.75" customHeight="1">
      <c r="G940" s="19"/>
      <c r="H940" s="19"/>
      <c r="M940" s="19"/>
      <c r="P940" s="19"/>
    </row>
    <row r="941" ht="15.75" customHeight="1">
      <c r="G941" s="19"/>
      <c r="H941" s="19"/>
      <c r="M941" s="19"/>
      <c r="P941" s="19"/>
    </row>
    <row r="942" ht="15.75" customHeight="1">
      <c r="G942" s="19"/>
      <c r="H942" s="19"/>
      <c r="M942" s="19"/>
      <c r="P942" s="19"/>
    </row>
    <row r="943" ht="15.75" customHeight="1">
      <c r="G943" s="19"/>
      <c r="H943" s="19"/>
      <c r="M943" s="19"/>
      <c r="P943" s="19"/>
    </row>
    <row r="944" ht="15.75" customHeight="1">
      <c r="G944" s="19"/>
      <c r="H944" s="19"/>
      <c r="M944" s="19"/>
      <c r="P944" s="19"/>
    </row>
    <row r="945" ht="15.75" customHeight="1">
      <c r="G945" s="19"/>
      <c r="H945" s="19"/>
      <c r="M945" s="19"/>
      <c r="P945" s="19"/>
    </row>
    <row r="946" ht="15.75" customHeight="1">
      <c r="G946" s="19"/>
      <c r="H946" s="19"/>
      <c r="M946" s="19"/>
      <c r="P946" s="19"/>
    </row>
    <row r="947" ht="15.75" customHeight="1">
      <c r="G947" s="19"/>
      <c r="H947" s="19"/>
      <c r="M947" s="19"/>
      <c r="P947" s="19"/>
    </row>
    <row r="948" ht="15.75" customHeight="1">
      <c r="G948" s="19"/>
      <c r="H948" s="19"/>
      <c r="M948" s="19"/>
      <c r="P948" s="19"/>
    </row>
    <row r="949" ht="15.75" customHeight="1">
      <c r="G949" s="19"/>
      <c r="H949" s="19"/>
      <c r="M949" s="19"/>
      <c r="P949" s="19"/>
    </row>
    <row r="950" ht="15.75" customHeight="1">
      <c r="G950" s="19"/>
      <c r="H950" s="19"/>
      <c r="M950" s="19"/>
      <c r="P950" s="19"/>
    </row>
    <row r="951" ht="15.75" customHeight="1">
      <c r="G951" s="19"/>
      <c r="H951" s="19"/>
      <c r="M951" s="19"/>
      <c r="P951" s="19"/>
    </row>
    <row r="952" ht="15.75" customHeight="1">
      <c r="G952" s="19"/>
      <c r="H952" s="19"/>
      <c r="M952" s="19"/>
      <c r="P952" s="19"/>
    </row>
    <row r="953" ht="15.75" customHeight="1">
      <c r="G953" s="19"/>
      <c r="H953" s="19"/>
      <c r="M953" s="19"/>
      <c r="P953" s="19"/>
    </row>
    <row r="954" ht="15.75" customHeight="1">
      <c r="G954" s="19"/>
      <c r="H954" s="19"/>
      <c r="M954" s="19"/>
      <c r="P954" s="19"/>
    </row>
    <row r="955" ht="15.75" customHeight="1">
      <c r="G955" s="19"/>
      <c r="H955" s="19"/>
      <c r="M955" s="19"/>
      <c r="P955" s="19"/>
    </row>
    <row r="956" ht="15.75" customHeight="1">
      <c r="G956" s="19"/>
      <c r="H956" s="19"/>
      <c r="M956" s="19"/>
      <c r="P956" s="19"/>
    </row>
    <row r="957" ht="15.75" customHeight="1">
      <c r="G957" s="19"/>
      <c r="H957" s="19"/>
      <c r="M957" s="19"/>
      <c r="P957" s="19"/>
    </row>
    <row r="958" ht="15.75" customHeight="1">
      <c r="G958" s="19"/>
      <c r="H958" s="19"/>
      <c r="M958" s="19"/>
      <c r="P958" s="19"/>
    </row>
    <row r="959" ht="15.75" customHeight="1">
      <c r="G959" s="19"/>
      <c r="H959" s="19"/>
      <c r="M959" s="19"/>
      <c r="P959" s="19"/>
    </row>
    <row r="960" ht="15.75" customHeight="1">
      <c r="G960" s="19"/>
      <c r="H960" s="19"/>
      <c r="M960" s="19"/>
      <c r="P960" s="19"/>
    </row>
    <row r="961" ht="15.75" customHeight="1">
      <c r="G961" s="19"/>
      <c r="H961" s="19"/>
      <c r="M961" s="19"/>
      <c r="P961" s="19"/>
    </row>
    <row r="962" ht="15.75" customHeight="1">
      <c r="G962" s="19"/>
      <c r="H962" s="19"/>
      <c r="M962" s="19"/>
      <c r="P962" s="19"/>
    </row>
    <row r="963" ht="15.75" customHeight="1">
      <c r="G963" s="19"/>
      <c r="H963" s="19"/>
      <c r="M963" s="19"/>
      <c r="P963" s="19"/>
    </row>
    <row r="964" ht="15.75" customHeight="1">
      <c r="G964" s="19"/>
      <c r="H964" s="19"/>
      <c r="M964" s="19"/>
      <c r="P964" s="19"/>
    </row>
    <row r="965" ht="15.75" customHeight="1">
      <c r="G965" s="19"/>
      <c r="H965" s="19"/>
      <c r="M965" s="19"/>
      <c r="P965" s="19"/>
    </row>
    <row r="966" ht="15.75" customHeight="1">
      <c r="G966" s="19"/>
      <c r="H966" s="19"/>
      <c r="M966" s="19"/>
      <c r="P966" s="19"/>
    </row>
    <row r="967" ht="15.75" customHeight="1">
      <c r="G967" s="19"/>
      <c r="H967" s="19"/>
      <c r="M967" s="19"/>
      <c r="P967" s="19"/>
    </row>
    <row r="968" ht="15.75" customHeight="1">
      <c r="G968" s="19"/>
      <c r="H968" s="19"/>
      <c r="M968" s="19"/>
      <c r="P968" s="19"/>
    </row>
    <row r="969" ht="15.75" customHeight="1">
      <c r="G969" s="19"/>
      <c r="H969" s="19"/>
      <c r="M969" s="19"/>
      <c r="P969" s="19"/>
    </row>
    <row r="970" ht="15.75" customHeight="1">
      <c r="G970" s="19"/>
      <c r="H970" s="19"/>
      <c r="M970" s="19"/>
      <c r="P970" s="19"/>
    </row>
    <row r="971" ht="15.75" customHeight="1">
      <c r="G971" s="19"/>
      <c r="H971" s="19"/>
      <c r="M971" s="19"/>
      <c r="P971" s="19"/>
    </row>
    <row r="972" ht="15.75" customHeight="1">
      <c r="G972" s="19"/>
      <c r="H972" s="19"/>
      <c r="M972" s="19"/>
      <c r="P972" s="19"/>
    </row>
    <row r="973" ht="15.75" customHeight="1">
      <c r="G973" s="19"/>
      <c r="H973" s="19"/>
      <c r="M973" s="19"/>
      <c r="P973" s="19"/>
    </row>
    <row r="974" ht="15.75" customHeight="1">
      <c r="G974" s="19"/>
      <c r="H974" s="19"/>
      <c r="M974" s="19"/>
      <c r="P974" s="19"/>
    </row>
    <row r="975" ht="15.75" customHeight="1">
      <c r="G975" s="19"/>
      <c r="H975" s="19"/>
      <c r="M975" s="19"/>
      <c r="P975" s="19"/>
    </row>
    <row r="976" ht="15.75" customHeight="1">
      <c r="G976" s="19"/>
      <c r="H976" s="19"/>
      <c r="M976" s="19"/>
      <c r="P976" s="19"/>
    </row>
    <row r="977" ht="15.75" customHeight="1">
      <c r="G977" s="19"/>
      <c r="H977" s="19"/>
      <c r="M977" s="19"/>
      <c r="P977" s="19"/>
    </row>
    <row r="978" ht="15.75" customHeight="1">
      <c r="G978" s="19"/>
      <c r="H978" s="19"/>
      <c r="M978" s="19"/>
      <c r="P978" s="19"/>
    </row>
    <row r="979" ht="15.75" customHeight="1">
      <c r="G979" s="19"/>
      <c r="H979" s="19"/>
      <c r="M979" s="19"/>
      <c r="P979" s="19"/>
    </row>
    <row r="980" ht="15.75" customHeight="1">
      <c r="G980" s="19"/>
      <c r="H980" s="19"/>
      <c r="M980" s="19"/>
      <c r="P980" s="19"/>
    </row>
    <row r="981" ht="15.75" customHeight="1">
      <c r="G981" s="19"/>
      <c r="H981" s="19"/>
      <c r="M981" s="19"/>
      <c r="P981" s="19"/>
    </row>
    <row r="982" ht="15.75" customHeight="1">
      <c r="G982" s="19"/>
      <c r="H982" s="19"/>
      <c r="M982" s="19"/>
      <c r="P982" s="19"/>
    </row>
    <row r="983" ht="15.75" customHeight="1">
      <c r="G983" s="19"/>
      <c r="H983" s="19"/>
      <c r="M983" s="19"/>
      <c r="P983" s="19"/>
    </row>
    <row r="984" ht="15.75" customHeight="1">
      <c r="G984" s="19"/>
      <c r="H984" s="19"/>
      <c r="M984" s="19"/>
      <c r="P984" s="19"/>
    </row>
    <row r="985" ht="15.75" customHeight="1">
      <c r="G985" s="19"/>
      <c r="H985" s="19"/>
      <c r="M985" s="19"/>
      <c r="P985" s="19"/>
    </row>
    <row r="986" ht="15.75" customHeight="1">
      <c r="G986" s="19"/>
      <c r="H986" s="19"/>
      <c r="M986" s="19"/>
      <c r="P986" s="19"/>
    </row>
    <row r="987" ht="15.75" customHeight="1">
      <c r="G987" s="19"/>
      <c r="H987" s="19"/>
      <c r="M987" s="19"/>
      <c r="P987" s="19"/>
    </row>
    <row r="988" ht="15.75" customHeight="1">
      <c r="G988" s="19"/>
      <c r="H988" s="19"/>
      <c r="M988" s="19"/>
      <c r="P988" s="19"/>
    </row>
    <row r="989" ht="15.75" customHeight="1">
      <c r="G989" s="19"/>
      <c r="H989" s="19"/>
      <c r="M989" s="19"/>
      <c r="P989" s="19"/>
    </row>
    <row r="990" ht="15.75" customHeight="1">
      <c r="G990" s="19"/>
      <c r="H990" s="19"/>
      <c r="M990" s="19"/>
      <c r="P990" s="19"/>
    </row>
    <row r="991" ht="15.75" customHeight="1">
      <c r="G991" s="19"/>
      <c r="H991" s="19"/>
      <c r="M991" s="19"/>
      <c r="P991" s="19"/>
    </row>
    <row r="992" ht="15.75" customHeight="1">
      <c r="G992" s="19"/>
      <c r="H992" s="19"/>
      <c r="M992" s="19"/>
      <c r="P992" s="19"/>
    </row>
    <row r="993" ht="15.75" customHeight="1">
      <c r="G993" s="19"/>
      <c r="H993" s="19"/>
      <c r="M993" s="19"/>
      <c r="P993" s="19"/>
    </row>
    <row r="994" ht="15.75" customHeight="1">
      <c r="G994" s="19"/>
      <c r="H994" s="19"/>
      <c r="M994" s="19"/>
      <c r="P994" s="19"/>
    </row>
    <row r="995" ht="15.75" customHeight="1">
      <c r="G995" s="19"/>
      <c r="H995" s="19"/>
      <c r="M995" s="19"/>
      <c r="P995" s="19"/>
    </row>
    <row r="996" ht="15.75" customHeight="1">
      <c r="G996" s="19"/>
      <c r="H996" s="19"/>
      <c r="M996" s="19"/>
      <c r="P996" s="19"/>
    </row>
    <row r="997" ht="15.75" customHeight="1">
      <c r="G997" s="19"/>
      <c r="H997" s="19"/>
      <c r="M997" s="19"/>
      <c r="P997" s="19"/>
    </row>
    <row r="998" ht="15.75" customHeight="1">
      <c r="G998" s="19"/>
      <c r="H998" s="19"/>
      <c r="M998" s="19"/>
      <c r="P998" s="19"/>
    </row>
    <row r="999" ht="15.75" customHeight="1">
      <c r="G999" s="19"/>
      <c r="H999" s="19"/>
      <c r="M999" s="19"/>
      <c r="P999" s="19"/>
    </row>
    <row r="1000" ht="15.75" customHeight="1">
      <c r="G1000" s="19"/>
      <c r="H1000" s="19"/>
      <c r="M1000" s="19"/>
      <c r="P1000" s="19"/>
    </row>
  </sheetData>
  <dataValidations>
    <dataValidation type="list" allowBlank="1" sqref="M2:M1000">
      <formula1>"Always,Intermittent,Once"</formula1>
    </dataValidation>
    <dataValidation type="list" allowBlank="1" sqref="P2:P1000">
      <formula1>"New,Open,In Progress,Retest,Closed,Deferred"</formula1>
    </dataValidation>
    <dataValidation type="list" allowBlank="1" sqref="E2:E107">
      <formula1>"Functional,Exploratory,Usability,Regression,Content"</formula1>
    </dataValidation>
    <dataValidation type="list" allowBlank="1" sqref="H2:H1000">
      <formula1>"High,Medium,Low"</formula1>
    </dataValidation>
    <dataValidation type="list" allowBlank="1" sqref="G2:G1000">
      <formula1>"Critical,High,Medium,Low"</formula1>
    </dataValidation>
  </dataValidations>
  <hyperlinks>
    <hyperlink r:id="rId1" ref="N2"/>
    <hyperlink r:id="rId2" ref="N3"/>
    <hyperlink r:id="rId3" ref="O3"/>
    <hyperlink r:id="rId4" ref="N4"/>
    <hyperlink r:id="rId5" ref="O4"/>
  </hyperlinks>
  <printOptions/>
  <pageMargins bottom="0.75" footer="0.0" header="0.0" left="0.7" right="0.7" top="0.75"/>
  <pageSetup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63"/>
    <col customWidth="1" min="2" max="2" width="48.75"/>
    <col customWidth="1" min="3" max="6" width="12.63"/>
  </cols>
  <sheetData>
    <row r="1" ht="15.0" customHeight="1">
      <c r="A1" s="13" t="s">
        <v>192</v>
      </c>
      <c r="B1" s="13" t="s">
        <v>10</v>
      </c>
    </row>
    <row r="2" ht="15.0" customHeight="1">
      <c r="A2" s="14" t="s">
        <v>14</v>
      </c>
      <c r="B2" s="15" t="str">
        <f>'Project Overview'!B2</f>
        <v>Manual Testing of AcademyBugs</v>
      </c>
    </row>
    <row r="3" ht="15.0" customHeight="1">
      <c r="A3" s="14" t="s">
        <v>202</v>
      </c>
      <c r="B3" s="15" t="s">
        <v>203</v>
      </c>
    </row>
    <row r="4" ht="15.0" customHeight="1">
      <c r="A4" s="14" t="s">
        <v>204</v>
      </c>
      <c r="B4" s="15" t="s">
        <v>206</v>
      </c>
    </row>
    <row r="5" ht="24.0" customHeight="1">
      <c r="A5" s="14" t="s">
        <v>20</v>
      </c>
      <c r="B5" s="15" t="s">
        <v>207</v>
      </c>
    </row>
    <row r="6" ht="15.0" customHeight="1">
      <c r="A6" s="14" t="s">
        <v>208</v>
      </c>
      <c r="B6" s="15">
        <f>COUNTA('Test Cases'!A2:A1001)</f>
        <v>12</v>
      </c>
    </row>
    <row r="7" ht="15.0" customHeight="1">
      <c r="A7" s="14" t="s">
        <v>209</v>
      </c>
      <c r="B7" s="15">
        <f>COUNTIF('Test Cases'!K2:K1001, "Pass")</f>
        <v>9</v>
      </c>
    </row>
    <row r="8" ht="15.0" customHeight="1">
      <c r="A8" s="14" t="s">
        <v>210</v>
      </c>
      <c r="B8" s="15">
        <f>COUNTIF('Test Cases'!K2:K1001, "Fail")</f>
        <v>3</v>
      </c>
    </row>
    <row r="9" ht="15.0" customHeight="1">
      <c r="A9" s="14" t="s">
        <v>211</v>
      </c>
      <c r="B9" s="15">
        <f>COUNTIF('Test Cases'!K2:K1001, "Blocked")</f>
        <v>0</v>
      </c>
    </row>
    <row r="10" ht="15.0" customHeight="1">
      <c r="A10" s="14" t="s">
        <v>212</v>
      </c>
      <c r="B10" s="15">
        <f>COUNTIF('Test Cases'!K2:K1001, "Not Run")</f>
        <v>0</v>
      </c>
    </row>
    <row r="11" ht="15.0" customHeight="1">
      <c r="A11" s="14" t="s">
        <v>213</v>
      </c>
      <c r="B11" s="17">
        <f>IF(B6&gt;0, B7/B6, 0)</f>
        <v>0.75</v>
      </c>
    </row>
    <row r="12" ht="15.0" customHeight="1">
      <c r="A12" s="14" t="s">
        <v>214</v>
      </c>
      <c r="B12" s="15">
        <f>COUNTA('Defect Reports'!A2:A1001)</f>
        <v>3</v>
      </c>
    </row>
    <row r="13" ht="15.0" customHeight="1">
      <c r="A13" s="14" t="s">
        <v>215</v>
      </c>
      <c r="B13" s="15">
        <f>COUNTIF('Defect Reports'!G2:G1001, "Critical")</f>
        <v>0</v>
      </c>
    </row>
    <row r="14" ht="15.0" customHeight="1">
      <c r="A14" s="14" t="s">
        <v>216</v>
      </c>
      <c r="B14" s="15">
        <f>COUNTIF('Defect Reports'!G2:G1001, "High")</f>
        <v>1</v>
      </c>
    </row>
    <row r="15" ht="15.0" customHeight="1">
      <c r="A15" s="14" t="s">
        <v>217</v>
      </c>
      <c r="B15" s="15">
        <f>COUNTIF('Defect Reports'!G2:G1001, "Medium")</f>
        <v>1</v>
      </c>
    </row>
    <row r="16" ht="15.0" customHeight="1">
      <c r="A16" s="14" t="s">
        <v>218</v>
      </c>
      <c r="B16" s="15">
        <f>COUNTIF('Defect Reports'!G2:G1001, "Low")</f>
        <v>1</v>
      </c>
    </row>
    <row r="17" ht="108.0" customHeight="1">
      <c r="A17" s="14" t="s">
        <v>219</v>
      </c>
      <c r="B17" s="15" t="s">
        <v>220</v>
      </c>
    </row>
    <row r="18" ht="84.0" customHeight="1">
      <c r="A18" s="14" t="s">
        <v>221</v>
      </c>
      <c r="B18" s="15" t="s">
        <v>222</v>
      </c>
    </row>
    <row r="19" ht="120.0" customHeight="1">
      <c r="A19" s="14" t="s">
        <v>223</v>
      </c>
      <c r="B19" s="15" t="s">
        <v>224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